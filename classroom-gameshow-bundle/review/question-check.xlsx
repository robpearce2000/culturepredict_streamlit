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iology" sheetId="2" state="visible" r:id="rId2"/>
    <sheet name="Chemistry" sheetId="3" state="visible" r:id="rId3"/>
    <sheet name="Physics" sheetId="4" state="visible" r:id="rId4"/>
    <sheet name="Maths" sheetId="5" state="visible" r:id="rId5"/>
    <sheet name="History" sheetId="6" state="visible" r:id="rId6"/>
    <sheet name="Geography" sheetId="7" state="visible" r:id="rId7"/>
  </sheets>
  <definedNames>
    <definedName name="_xlnm._FilterDatabase" localSheetId="1" hidden="1">'Biology'!$A$1:$O$31</definedName>
    <definedName name="_xlnm._FilterDatabase" localSheetId="2" hidden="1">'Chemistry'!$A$1:$O$2</definedName>
    <definedName name="_xlnm._FilterDatabase" localSheetId="3" hidden="1">'Physics'!$A$1:$O$2</definedName>
    <definedName name="_xlnm._FilterDatabase" localSheetId="4" hidden="1">'Maths'!$A$1:$O$2</definedName>
    <definedName name="_xlnm._FilterDatabase" localSheetId="5" hidden="1">'History'!$A$1:$O$6</definedName>
    <definedName name="_xlnm._FilterDatabase" localSheetId="6" hidden="1">'Geography'!$A$1:$O$4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pivotButton="0" quotePrefix="0" xfId="0"/>
    <xf numFmtId="0" fontId="4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7" customWidth="1" min="4" max="4"/>
    <col width="9" customWidth="1" min="5" max="5"/>
    <col width="10" customWidth="1" min="6" max="6"/>
    <col width="9" customWidth="1" min="7" max="7"/>
    <col width="10" customWidth="1" min="8" max="8"/>
  </cols>
  <sheetData>
    <row r="1">
      <c r="A1" s="1" t="inlineStr">
        <is>
          <t>Question check: quick subset review (October 2026)</t>
        </is>
      </c>
    </row>
    <row r="2" ht="42" customHeight="1">
      <c r="A2" s="2" t="inlineStr">
        <is>
          <t>How to fill in: on each subject sheet, choose a value in the yellow "Rob's decision" column (Use suggested fix, Keep as is, Remove, or I'll edit with your wording in "Rob's note").</t>
        </is>
      </c>
    </row>
    <row r="3" ht="42" customHeight="1">
      <c r="A3" s="2" t="inlineStr">
        <is>
          <t>Method: every question in all 135 packs was scanned automatically (give-away answers, missing Calc tags, marking notes in Accept, cross-pack duplicates, spacing), and a stratified random sample of at least 3 per pack (one per difficulty, plus a calculation and a Higher-only question where the pack has them) was reviewed by hand, with every sampled calculation worked out independently.</t>
        </is>
      </c>
    </row>
    <row r="4" ht="42" customHeight="1">
      <c r="A4" s="2" t="inlineStr">
        <is>
          <t>Specifications were not re-fetched from the exam boards for this quick check; spec references and Higher-tier tags are as validated by tools/packs.js against packs/specs/.</t>
        </is>
      </c>
    </row>
    <row r="5" ht="42" customHeight="1">
      <c r="A5" s="2" t="inlineStr">
        <is>
          <t>Totals and sample sizes are counted from packs/ (hardcoded); flag counts are formulas that count the subject sheets.</t>
        </is>
      </c>
    </row>
    <row r="7">
      <c r="A7" s="3" t="inlineStr">
        <is>
          <t>Subject</t>
        </is>
      </c>
      <c r="B7" s="3" t="inlineStr">
        <is>
          <t>Board</t>
        </is>
      </c>
      <c r="C7" s="3" t="inlineStr">
        <is>
          <t>Total questions</t>
        </is>
      </c>
      <c r="D7" s="3" t="inlineStr">
        <is>
          <t>Reviewed by hand</t>
        </is>
      </c>
      <c r="E7" s="3" t="inlineStr">
        <is>
          <t>Wrong</t>
        </is>
      </c>
      <c r="F7" s="3" t="inlineStr">
        <is>
          <t>Doubtful</t>
        </is>
      </c>
      <c r="G7" s="3" t="inlineStr">
        <is>
          <t>Minor</t>
        </is>
      </c>
      <c r="H7" s="3" t="inlineStr">
        <is>
          <t>All flags</t>
        </is>
      </c>
    </row>
    <row r="8">
      <c r="A8" s="4" t="inlineStr">
        <is>
          <t>Biology</t>
        </is>
      </c>
      <c r="B8" s="4" t="inlineStr">
        <is>
          <t>AQA</t>
        </is>
      </c>
      <c r="C8" s="4" t="n">
        <v>414</v>
      </c>
      <c r="D8" s="4" t="n">
        <v>27</v>
      </c>
      <c r="E8" s="4">
        <f>COUNTIFS(Biology!$B$2:$B$300,$B8,Biology!$K$2:$K$300,"Wrong")</f>
        <v/>
      </c>
      <c r="F8" s="4">
        <f>COUNTIFS(Biology!$B$2:$B$300,$B8,Biology!$K$2:$K$300,"Doubtful")</f>
        <v/>
      </c>
      <c r="G8" s="4">
        <f>COUNTIFS(Biology!$B$2:$B$300,$B8,Biology!$K$2:$K$300,"Minor")</f>
        <v/>
      </c>
      <c r="H8" s="4">
        <f>SUM(E8:G8)</f>
        <v/>
      </c>
    </row>
    <row r="9">
      <c r="A9" s="4" t="inlineStr">
        <is>
          <t>Biology</t>
        </is>
      </c>
      <c r="B9" s="4" t="inlineStr">
        <is>
          <t>Edexcel</t>
        </is>
      </c>
      <c r="C9" s="4" t="n">
        <v>597</v>
      </c>
      <c r="D9" s="4" t="n">
        <v>35</v>
      </c>
      <c r="E9" s="4">
        <f>COUNTIFS(Biology!$B$2:$B$300,$B9,Biology!$K$2:$K$300,"Wrong")</f>
        <v/>
      </c>
      <c r="F9" s="4">
        <f>COUNTIFS(Biology!$B$2:$B$300,$B9,Biology!$K$2:$K$300,"Doubtful")</f>
        <v/>
      </c>
      <c r="G9" s="4">
        <f>COUNTIFS(Biology!$B$2:$B$300,$B9,Biology!$K$2:$K$300,"Minor")</f>
        <v/>
      </c>
      <c r="H9" s="4">
        <f>SUM(E9:G9)</f>
        <v/>
      </c>
    </row>
    <row r="10">
      <c r="A10" s="4" t="inlineStr">
        <is>
          <t>Chemistry</t>
        </is>
      </c>
      <c r="B10" s="4" t="inlineStr">
        <is>
          <t>AQA</t>
        </is>
      </c>
      <c r="C10" s="4" t="n">
        <v>592</v>
      </c>
      <c r="D10" s="4" t="n">
        <v>47</v>
      </c>
      <c r="E10" s="4">
        <f>COUNTIFS(Chemistry!$B$2:$B$300,$B10,Chemistry!$K$2:$K$300,"Wrong")</f>
        <v/>
      </c>
      <c r="F10" s="4">
        <f>COUNTIFS(Chemistry!$B$2:$B$300,$B10,Chemistry!$K$2:$K$300,"Doubtful")</f>
        <v/>
      </c>
      <c r="G10" s="4">
        <f>COUNTIFS(Chemistry!$B$2:$B$300,$B10,Chemistry!$K$2:$K$300,"Minor")</f>
        <v/>
      </c>
      <c r="H10" s="4">
        <f>SUM(E10:G10)</f>
        <v/>
      </c>
    </row>
    <row r="11">
      <c r="A11" s="4" t="inlineStr">
        <is>
          <t>Chemistry</t>
        </is>
      </c>
      <c r="B11" s="4" t="inlineStr">
        <is>
          <t>Edexcel</t>
        </is>
      </c>
      <c r="C11" s="4" t="n">
        <v>845</v>
      </c>
      <c r="D11" s="4" t="n">
        <v>42</v>
      </c>
      <c r="E11" s="4">
        <f>COUNTIFS(Chemistry!$B$2:$B$300,$B11,Chemistry!$K$2:$K$300,"Wrong")</f>
        <v/>
      </c>
      <c r="F11" s="4">
        <f>COUNTIFS(Chemistry!$B$2:$B$300,$B11,Chemistry!$K$2:$K$300,"Doubtful")</f>
        <v/>
      </c>
      <c r="G11" s="4">
        <f>COUNTIFS(Chemistry!$B$2:$B$300,$B11,Chemistry!$K$2:$K$300,"Minor")</f>
        <v/>
      </c>
      <c r="H11" s="4">
        <f>SUM(E11:G11)</f>
        <v/>
      </c>
    </row>
    <row r="12">
      <c r="A12" s="4" t="inlineStr">
        <is>
          <t>Physics</t>
        </is>
      </c>
      <c r="B12" s="4" t="inlineStr">
        <is>
          <t>AQA</t>
        </is>
      </c>
      <c r="C12" s="4" t="n">
        <v>475</v>
      </c>
      <c r="D12" s="4" t="n">
        <v>38</v>
      </c>
      <c r="E12" s="4">
        <f>COUNTIFS(Physics!$B$2:$B$300,$B12,Physics!$K$2:$K$300,"Wrong")</f>
        <v/>
      </c>
      <c r="F12" s="4">
        <f>COUNTIFS(Physics!$B$2:$B$300,$B12,Physics!$K$2:$K$300,"Doubtful")</f>
        <v/>
      </c>
      <c r="G12" s="4">
        <f>COUNTIFS(Physics!$B$2:$B$300,$B12,Physics!$K$2:$K$300,"Minor")</f>
        <v/>
      </c>
      <c r="H12" s="4">
        <f>SUM(E12:G12)</f>
        <v/>
      </c>
    </row>
    <row r="13">
      <c r="A13" s="4" t="inlineStr">
        <is>
          <t>Physics</t>
        </is>
      </c>
      <c r="B13" s="4" t="inlineStr">
        <is>
          <t>Edexcel</t>
        </is>
      </c>
      <c r="C13" s="4" t="n">
        <v>1127</v>
      </c>
      <c r="D13" s="4" t="n">
        <v>70</v>
      </c>
      <c r="E13" s="4">
        <f>COUNTIFS(Physics!$B$2:$B$300,$B13,Physics!$K$2:$K$300,"Wrong")</f>
        <v/>
      </c>
      <c r="F13" s="4">
        <f>COUNTIFS(Physics!$B$2:$B$300,$B13,Physics!$K$2:$K$300,"Doubtful")</f>
        <v/>
      </c>
      <c r="G13" s="4">
        <f>COUNTIFS(Physics!$B$2:$B$300,$B13,Physics!$K$2:$K$300,"Minor")</f>
        <v/>
      </c>
      <c r="H13" s="4">
        <f>SUM(E13:G13)</f>
        <v/>
      </c>
    </row>
    <row r="14">
      <c r="A14" s="4" t="inlineStr">
        <is>
          <t>Maths</t>
        </is>
      </c>
      <c r="B14" s="4" t="inlineStr">
        <is>
          <t>AQA</t>
        </is>
      </c>
      <c r="C14" s="4" t="n">
        <v>432</v>
      </c>
      <c r="D14" s="4" t="n">
        <v>24</v>
      </c>
      <c r="E14" s="4">
        <f>COUNTIFS(Maths!$B$2:$B$300,$B14,Maths!$K$2:$K$300,"Wrong")</f>
        <v/>
      </c>
      <c r="F14" s="4">
        <f>COUNTIFS(Maths!$B$2:$B$300,$B14,Maths!$K$2:$K$300,"Doubtful")</f>
        <v/>
      </c>
      <c r="G14" s="4">
        <f>COUNTIFS(Maths!$B$2:$B$300,$B14,Maths!$K$2:$K$300,"Minor")</f>
        <v/>
      </c>
      <c r="H14" s="4">
        <f>SUM(E14:G14)</f>
        <v/>
      </c>
    </row>
    <row r="15">
      <c r="A15" s="4" t="inlineStr">
        <is>
          <t>Maths</t>
        </is>
      </c>
      <c r="B15" s="4" t="inlineStr">
        <is>
          <t>Edexcel</t>
        </is>
      </c>
      <c r="C15" s="4" t="n">
        <v>436</v>
      </c>
      <c r="D15" s="4" t="n">
        <v>24</v>
      </c>
      <c r="E15" s="4">
        <f>COUNTIFS(Maths!$B$2:$B$300,$B15,Maths!$K$2:$K$300,"Wrong")</f>
        <v/>
      </c>
      <c r="F15" s="4">
        <f>COUNTIFS(Maths!$B$2:$B$300,$B15,Maths!$K$2:$K$300,"Doubtful")</f>
        <v/>
      </c>
      <c r="G15" s="4">
        <f>COUNTIFS(Maths!$B$2:$B$300,$B15,Maths!$K$2:$K$300,"Minor")</f>
        <v/>
      </c>
      <c r="H15" s="4">
        <f>SUM(E15:G15)</f>
        <v/>
      </c>
    </row>
    <row r="16">
      <c r="A16" s="4" t="inlineStr">
        <is>
          <t>History</t>
        </is>
      </c>
      <c r="B16" s="4" t="inlineStr">
        <is>
          <t>AQA</t>
        </is>
      </c>
      <c r="C16" s="4" t="n">
        <v>755</v>
      </c>
      <c r="D16" s="4" t="n">
        <v>48</v>
      </c>
      <c r="E16" s="4">
        <f>COUNTIFS(History!$B$2:$B$300,$B16,History!$K$2:$K$300,"Wrong")</f>
        <v/>
      </c>
      <c r="F16" s="4">
        <f>COUNTIFS(History!$B$2:$B$300,$B16,History!$K$2:$K$300,"Doubtful")</f>
        <v/>
      </c>
      <c r="G16" s="4">
        <f>COUNTIFS(History!$B$2:$B$300,$B16,History!$K$2:$K$300,"Minor")</f>
        <v/>
      </c>
      <c r="H16" s="4">
        <f>SUM(E16:G16)</f>
        <v/>
      </c>
    </row>
    <row r="17">
      <c r="A17" s="4" t="inlineStr">
        <is>
          <t>History</t>
        </is>
      </c>
      <c r="B17" s="4" t="inlineStr">
        <is>
          <t>Edexcel</t>
        </is>
      </c>
      <c r="C17" s="4" t="n">
        <v>943</v>
      </c>
      <c r="D17" s="4" t="n">
        <v>51</v>
      </c>
      <c r="E17" s="4">
        <f>COUNTIFS(History!$B$2:$B$300,$B17,History!$K$2:$K$300,"Wrong")</f>
        <v/>
      </c>
      <c r="F17" s="4">
        <f>COUNTIFS(History!$B$2:$B$300,$B17,History!$K$2:$K$300,"Doubtful")</f>
        <v/>
      </c>
      <c r="G17" s="4">
        <f>COUNTIFS(History!$B$2:$B$300,$B17,History!$K$2:$K$300,"Minor")</f>
        <v/>
      </c>
      <c r="H17" s="4">
        <f>SUM(E17:G17)</f>
        <v/>
      </c>
    </row>
    <row r="18">
      <c r="A18" s="4" t="inlineStr">
        <is>
          <t>Geography</t>
        </is>
      </c>
      <c r="B18" s="4" t="inlineStr">
        <is>
          <t>AQA</t>
        </is>
      </c>
      <c r="C18" s="4" t="n">
        <v>562</v>
      </c>
      <c r="D18" s="4" t="n">
        <v>39</v>
      </c>
      <c r="E18" s="4">
        <f>COUNTIFS(Geography!$B$2:$B$300,$B18,Geography!$K$2:$K$300,"Wrong")</f>
        <v/>
      </c>
      <c r="F18" s="4">
        <f>COUNTIFS(Geography!$B$2:$B$300,$B18,Geography!$K$2:$K$300,"Doubtful")</f>
        <v/>
      </c>
      <c r="G18" s="4">
        <f>COUNTIFS(Geography!$B$2:$B$300,$B18,Geography!$K$2:$K$300,"Minor")</f>
        <v/>
      </c>
      <c r="H18" s="4">
        <f>SUM(E18:G18)</f>
        <v/>
      </c>
    </row>
    <row r="19">
      <c r="A19" s="4" t="inlineStr">
        <is>
          <t>Geography</t>
        </is>
      </c>
      <c r="B19" s="4" t="inlineStr">
        <is>
          <t>Edexcel</t>
        </is>
      </c>
      <c r="C19" s="4" t="n">
        <v>831</v>
      </c>
      <c r="D19" s="4" t="n">
        <v>57</v>
      </c>
      <c r="E19" s="4">
        <f>COUNTIFS(Geography!$B$2:$B$300,$B19,Geography!$K$2:$K$300,"Wrong")</f>
        <v/>
      </c>
      <c r="F19" s="4">
        <f>COUNTIFS(Geography!$B$2:$B$300,$B19,Geography!$K$2:$K$300,"Doubtful")</f>
        <v/>
      </c>
      <c r="G19" s="4">
        <f>COUNTIFS(Geography!$B$2:$B$300,$B19,Geography!$K$2:$K$300,"Minor")</f>
        <v/>
      </c>
      <c r="H19" s="4">
        <f>SUM(E19:G19)</f>
        <v/>
      </c>
    </row>
    <row r="20">
      <c r="A20" s="5" t="inlineStr">
        <is>
          <t>Total</t>
        </is>
      </c>
      <c r="B20" s="5" t="n"/>
      <c r="C20" s="5">
        <f>SUM(C8:C19)</f>
        <v/>
      </c>
      <c r="D20" s="5">
        <f>SUM(D8:D19)</f>
        <v/>
      </c>
      <c r="E20" s="5">
        <f>SUM(E8:E19)</f>
        <v/>
      </c>
      <c r="F20" s="5">
        <f>SUM(F8:F19)</f>
        <v/>
      </c>
      <c r="G20" s="5">
        <f>SUM(G8:G19)</f>
        <v/>
      </c>
      <c r="H20" s="5">
        <f>SUM(H8:H19)</f>
        <v/>
      </c>
    </row>
  </sheetData>
  <mergeCells count="4">
    <mergeCell ref="A4:H4"/>
    <mergeCell ref="A3:H3"/>
    <mergeCell ref="A2:H2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6" customWidth="1" min="4" max="4"/>
    <col width="12" customWidth="1" min="5" max="5"/>
    <col width="9" customWidth="1" min="6" max="6"/>
    <col width="11" customWidth="1" min="7" max="7"/>
    <col width="50" customWidth="1" min="8" max="8"/>
    <col width="26" customWidth="1" min="9" max="9"/>
    <col width="30" customWidth="1" min="10" max="10"/>
    <col width="10" customWidth="1" min="11" max="11"/>
    <col width="46" customWidth="1" min="12" max="12"/>
    <col width="46" customWidth="1" min="13" max="13"/>
    <col width="18" customWidth="1" min="14" max="14"/>
    <col width="30" customWidth="1" min="15" max="15"/>
  </cols>
  <sheetData>
    <row r="1">
      <c r="A1" s="3" t="inlineStr">
        <is>
          <t>ID</t>
        </is>
      </c>
      <c r="B1" s="3" t="inlineStr">
        <is>
          <t>Board</t>
        </is>
      </c>
      <c r="C1" s="3" t="inlineStr">
        <is>
          <t>Subject</t>
        </is>
      </c>
      <c r="D1" s="3" t="inlineStr">
        <is>
          <t>Course</t>
        </is>
      </c>
      <c r="E1" s="3" t="inlineStr">
        <is>
          <t>Tier</t>
        </is>
      </c>
      <c r="F1" s="3" t="inlineStr">
        <is>
          <t>Topic</t>
        </is>
      </c>
      <c r="G1" s="3" t="inlineStr">
        <is>
          <t>Spec ref</t>
        </is>
      </c>
      <c r="H1" s="3" t="inlineStr">
        <is>
          <t>Question</t>
        </is>
      </c>
      <c r="I1" s="3" t="inlineStr">
        <is>
          <t>Answer</t>
        </is>
      </c>
      <c r="J1" s="3" t="inlineStr">
        <is>
          <t>Accepted answers</t>
        </is>
      </c>
      <c r="K1" s="3" t="inlineStr">
        <is>
          <t>Grade</t>
        </is>
      </c>
      <c r="L1" s="3" t="inlineStr">
        <is>
          <t>Reason</t>
        </is>
      </c>
      <c r="M1" s="3" t="inlineStr">
        <is>
          <t>Suggested fix</t>
        </is>
      </c>
      <c r="N1" s="3" t="inlineStr">
        <is>
          <t>Rob's decision</t>
        </is>
      </c>
      <c r="O1" s="3" t="inlineStr">
        <is>
          <t>Rob's note</t>
        </is>
      </c>
    </row>
    <row r="2">
      <c r="A2" s="6" t="inlineStr">
        <is>
          <t>aqa-bio-4.1-018</t>
        </is>
      </c>
      <c r="B2" s="6" t="inlineStr">
        <is>
          <t>AQA</t>
        </is>
      </c>
      <c r="C2" s="6" t="inlineStr">
        <is>
          <t>Biology</t>
        </is>
      </c>
      <c r="D2" s="6" t="inlineStr">
        <is>
          <t>Separate and Combined</t>
        </is>
      </c>
      <c r="E2" s="6" t="inlineStr">
        <is>
          <t>Both</t>
        </is>
      </c>
      <c r="F2" s="6" t="inlineStr">
        <is>
          <t>4.1</t>
        </is>
      </c>
      <c r="G2" s="6" t="inlineStr">
        <is>
          <t>4.1.1.5</t>
        </is>
      </c>
      <c r="H2" s="6" t="inlineStr">
        <is>
          <t>A cell image is 4 mm wide at ×400 magnification. What is the real width in micrometres?</t>
        </is>
      </c>
      <c r="I2" s="6" t="inlineStr">
        <is>
          <t>10 µm</t>
        </is>
      </c>
      <c r="J2" s="6" t="inlineStr">
        <is>
          <t>10 micrometres; 0.01 mm</t>
        </is>
      </c>
      <c r="K2" s="7" t="inlineStr">
        <is>
          <t>Minor</t>
        </is>
      </c>
      <c r="L2" s="6" t="inlineStr">
        <is>
          <t>Multi-step calculation without the Calc tag, so it gets no extra working time where the games allow it. Answer checked and correct.</t>
        </is>
      </c>
      <c r="M2" s="6" t="inlineStr">
        <is>
          <t>Add "Calc: yes".</t>
        </is>
      </c>
      <c r="N2" s="8" t="n"/>
      <c r="O2" s="8" t="n"/>
    </row>
    <row r="3">
      <c r="A3" s="6" t="inlineStr">
        <is>
          <t>aqa-bio-4.1-021</t>
        </is>
      </c>
      <c r="B3" s="6" t="inlineStr">
        <is>
          <t>AQA</t>
        </is>
      </c>
      <c r="C3" s="6" t="inlineStr">
        <is>
          <t>Biology</t>
        </is>
      </c>
      <c r="D3" s="6" t="inlineStr">
        <is>
          <t>Separate and Combined</t>
        </is>
      </c>
      <c r="E3" s="6" t="inlineStr">
        <is>
          <t>Both</t>
        </is>
      </c>
      <c r="F3" s="6" t="inlineStr">
        <is>
          <t>4.1</t>
        </is>
      </c>
      <c r="G3" s="6" t="inlineStr">
        <is>
          <t>4.1.1.6</t>
        </is>
      </c>
      <c r="H3" s="6" t="inlineStr">
        <is>
          <t>A bacterium divides every 20 minutes. Starting with one bacterium, how many will there be after 2 hours?</t>
        </is>
      </c>
      <c r="I3" s="6" t="inlineStr">
        <is>
          <t>64</t>
        </is>
      </c>
      <c r="J3" s="6" t="inlineStr">
        <is>
          <t>Sixty-four; 2⁶</t>
        </is>
      </c>
      <c r="K3" s="7" t="inlineStr">
        <is>
          <t>Minor</t>
        </is>
      </c>
      <c r="L3" s="6" t="inlineStr">
        <is>
          <t>Multi-step calculation without the Calc tag, so it gets no extra working time where the games allow it. Answer checked and correct.</t>
        </is>
      </c>
      <c r="M3" s="6" t="inlineStr">
        <is>
          <t>Add "Calc: yes".</t>
        </is>
      </c>
      <c r="N3" s="8" t="n"/>
      <c r="O3" s="8" t="n"/>
    </row>
    <row r="4">
      <c r="A4" s="6" t="inlineStr">
        <is>
          <t>aqa-bio-4.1-024</t>
        </is>
      </c>
      <c r="B4" s="6" t="inlineStr">
        <is>
          <t>AQA</t>
        </is>
      </c>
      <c r="C4" s="6" t="inlineStr">
        <is>
          <t>Biology</t>
        </is>
      </c>
      <c r="D4" s="6" t="inlineStr">
        <is>
          <t>Separate and Combined</t>
        </is>
      </c>
      <c r="E4" s="6" t="inlineStr">
        <is>
          <t>Both</t>
        </is>
      </c>
      <c r="F4" s="6" t="inlineStr">
        <is>
          <t>4.1</t>
        </is>
      </c>
      <c r="G4" s="6" t="inlineStr">
        <is>
          <t>4.1.1.6</t>
        </is>
      </c>
      <c r="H4" s="6" t="inlineStr">
        <is>
          <t>A clear zone has a radius of 2 cm. Using area = πr² with π = 3, what is its area?</t>
        </is>
      </c>
      <c r="I4" s="6" t="inlineStr">
        <is>
          <t>12 cm²</t>
        </is>
      </c>
      <c r="J4" s="6" t="inlineStr">
        <is>
          <t>12 square centimetres</t>
        </is>
      </c>
      <c r="K4" s="7" t="inlineStr">
        <is>
          <t>Minor</t>
        </is>
      </c>
      <c r="L4" s="6" t="inlineStr">
        <is>
          <t>Multi-step calculation without the Calc tag, so it gets no extra working time where the games allow it. Answer checked and correct.</t>
        </is>
      </c>
      <c r="M4" s="6" t="inlineStr">
        <is>
          <t>Add "Calc: yes".</t>
        </is>
      </c>
      <c r="N4" s="8" t="n"/>
      <c r="O4" s="8" t="n"/>
    </row>
    <row r="5">
      <c r="A5" s="6" t="inlineStr">
        <is>
          <t>aqa-bio-4.1-038</t>
        </is>
      </c>
      <c r="B5" s="6" t="inlineStr">
        <is>
          <t>AQA</t>
        </is>
      </c>
      <c r="C5" s="6" t="inlineStr">
        <is>
          <t>Biology</t>
        </is>
      </c>
      <c r="D5" s="6" t="inlineStr">
        <is>
          <t>Separate and Combined</t>
        </is>
      </c>
      <c r="E5" s="6" t="inlineStr">
        <is>
          <t>Both</t>
        </is>
      </c>
      <c r="F5" s="6" t="inlineStr">
        <is>
          <t>4.1</t>
        </is>
      </c>
      <c r="G5" s="6" t="inlineStr">
        <is>
          <t>4.1.3.1</t>
        </is>
      </c>
      <c r="H5" s="6" t="inlineStr">
        <is>
          <t>A cube has sides of 2 cm. What is its surface area to volume ratio?</t>
        </is>
      </c>
      <c r="I5" s="6" t="inlineStr">
        <is>
          <t>3:1</t>
        </is>
      </c>
      <c r="J5" s="6" t="inlineStr">
        <is>
          <t>24:8; 3</t>
        </is>
      </c>
      <c r="K5" s="7" t="inlineStr">
        <is>
          <t>Minor</t>
        </is>
      </c>
      <c r="L5" s="6" t="inlineStr">
        <is>
          <t>Multi-step calculation without the Calc tag, so it gets no extra working time where the games allow it. Answer checked and correct.</t>
        </is>
      </c>
      <c r="M5" s="6" t="inlineStr">
        <is>
          <t>Add "Calc: yes".</t>
        </is>
      </c>
      <c r="N5" s="8" t="n"/>
      <c r="O5" s="8" t="n"/>
    </row>
    <row r="6">
      <c r="A6" s="6" t="inlineStr">
        <is>
          <t>aqa-bio-4.2-014</t>
        </is>
      </c>
      <c r="B6" s="6" t="inlineStr">
        <is>
          <t>AQA</t>
        </is>
      </c>
      <c r="C6" s="6" t="inlineStr">
        <is>
          <t>Biology</t>
        </is>
      </c>
      <c r="D6" s="6" t="inlineStr">
        <is>
          <t>Separate and Combined</t>
        </is>
      </c>
      <c r="E6" s="6" t="inlineStr">
        <is>
          <t>Both</t>
        </is>
      </c>
      <c r="F6" s="6" t="inlineStr">
        <is>
          <t>4.2</t>
        </is>
      </c>
      <c r="G6" s="6" t="inlineStr">
        <is>
          <t>4.2.2.1</t>
        </is>
      </c>
      <c r="H6" s="6" t="inlineStr">
        <is>
          <t>All the starch was digested in 50 seconds. Using rate = 1000 ÷ time, what is the rate?</t>
        </is>
      </c>
      <c r="I6" s="6" t="inlineStr">
        <is>
          <t>20 s⁻¹</t>
        </is>
      </c>
      <c r="J6" s="6" t="inlineStr">
        <is>
          <t>20; 20 per second; 20 /s; 20 per s</t>
        </is>
      </c>
      <c r="K6" s="7" t="inlineStr">
        <is>
          <t>Minor</t>
        </is>
      </c>
      <c r="L6" s="6" t="inlineStr">
        <is>
          <t>Multi-step calculation without the Calc tag, so it gets no extra working time where the games allow it. Answer checked and correct.</t>
        </is>
      </c>
      <c r="M6" s="6" t="inlineStr">
        <is>
          <t>Add "Calc: yes".</t>
        </is>
      </c>
      <c r="N6" s="8" t="n"/>
      <c r="O6" s="8" t="n"/>
    </row>
    <row r="7">
      <c r="A7" s="6" t="inlineStr">
        <is>
          <t>aqa-bio-4.2-020</t>
        </is>
      </c>
      <c r="B7" s="6" t="inlineStr">
        <is>
          <t>AQA</t>
        </is>
      </c>
      <c r="C7" s="6" t="inlineStr">
        <is>
          <t>Biology</t>
        </is>
      </c>
      <c r="D7" s="6" t="inlineStr">
        <is>
          <t>Separate and Combined</t>
        </is>
      </c>
      <c r="E7" s="6" t="inlineStr">
        <is>
          <t>Both</t>
        </is>
      </c>
      <c r="F7" s="6" t="inlineStr">
        <is>
          <t>4.2</t>
        </is>
      </c>
      <c r="G7" s="6" t="inlineStr">
        <is>
          <t>4.2.2.2</t>
        </is>
      </c>
      <c r="H7" s="6" t="inlineStr">
        <is>
          <t>1500 ml of blood flows through a vessel in 5 minutes. What is the rate of blood flow?</t>
        </is>
      </c>
      <c r="I7" s="6" t="inlineStr">
        <is>
          <t>300 ml/min</t>
        </is>
      </c>
      <c r="J7" s="6" t="inlineStr">
        <is>
          <t>300 ml per minute; 300 cm³/min; 300</t>
        </is>
      </c>
      <c r="K7" s="7" t="inlineStr">
        <is>
          <t>Minor</t>
        </is>
      </c>
      <c r="L7" s="6" t="inlineStr">
        <is>
          <t>Multi-step calculation without the Calc tag, so it gets no extra working time where the games allow it. Answer checked and correct.</t>
        </is>
      </c>
      <c r="M7" s="6" t="inlineStr">
        <is>
          <t>Add "Calc: yes".</t>
        </is>
      </c>
      <c r="N7" s="8" t="n"/>
      <c r="O7" s="8" t="n"/>
    </row>
    <row r="8">
      <c r="A8" s="6" t="inlineStr">
        <is>
          <t>aqa-bio-4.7-019</t>
        </is>
      </c>
      <c r="B8" s="6" t="inlineStr">
        <is>
          <t>AQA</t>
        </is>
      </c>
      <c r="C8" s="6" t="inlineStr">
        <is>
          <t>Biology</t>
        </is>
      </c>
      <c r="D8" s="6" t="inlineStr">
        <is>
          <t>Separate and Combined</t>
        </is>
      </c>
      <c r="E8" s="6" t="inlineStr">
        <is>
          <t>Both</t>
        </is>
      </c>
      <c r="F8" s="6" t="inlineStr">
        <is>
          <t>4.7</t>
        </is>
      </c>
      <c r="G8" s="6" t="inlineStr">
        <is>
          <t>4.7.2.1</t>
        </is>
      </c>
      <c r="H8" s="6" t="inlineStr">
        <is>
          <t>Five quadrats contain 3, 5, 6, 8 and 8 buttercups. What is the mean number per quadrat?</t>
        </is>
      </c>
      <c r="I8" s="6" t="inlineStr">
        <is>
          <t>6</t>
        </is>
      </c>
      <c r="J8" s="6" t="inlineStr">
        <is>
          <t>Six; 6 buttercups</t>
        </is>
      </c>
      <c r="K8" s="7" t="inlineStr">
        <is>
          <t>Minor</t>
        </is>
      </c>
      <c r="L8" s="6" t="inlineStr">
        <is>
          <t>Multi-step calculation without the Calc tag, so it gets no extra working time where the games allow it. Answer checked and correct.</t>
        </is>
      </c>
      <c r="M8" s="6" t="inlineStr">
        <is>
          <t>Add "Calc: yes".</t>
        </is>
      </c>
      <c r="N8" s="8" t="n"/>
      <c r="O8" s="8" t="n"/>
    </row>
    <row r="9">
      <c r="A9" s="6" t="inlineStr">
        <is>
          <t>aqa-bio-4.7-021</t>
        </is>
      </c>
      <c r="B9" s="6" t="inlineStr">
        <is>
          <t>AQA</t>
        </is>
      </c>
      <c r="C9" s="6" t="inlineStr">
        <is>
          <t>Biology</t>
        </is>
      </c>
      <c r="D9" s="6" t="inlineStr">
        <is>
          <t>Separate and Combined</t>
        </is>
      </c>
      <c r="E9" s="6" t="inlineStr">
        <is>
          <t>Both</t>
        </is>
      </c>
      <c r="F9" s="6" t="inlineStr">
        <is>
          <t>4.7</t>
        </is>
      </c>
      <c r="G9" s="6" t="inlineStr">
        <is>
          <t>4.7.2.1</t>
        </is>
      </c>
      <c r="H9" s="6" t="inlineStr">
        <is>
          <t>The mean is 4 dandelions per 0.25 m² quadrat. Estimate the number of dandelions in a 100 m² field.</t>
        </is>
      </c>
      <c r="I9" s="6" t="inlineStr">
        <is>
          <t>1600</t>
        </is>
      </c>
      <c r="J9" s="6" t="inlineStr">
        <is>
          <t>1600 dandelions</t>
        </is>
      </c>
      <c r="K9" s="7" t="inlineStr">
        <is>
          <t>Minor</t>
        </is>
      </c>
      <c r="L9" s="6" t="inlineStr">
        <is>
          <t>Multi-step calculation without the Calc tag, so it gets no extra working time where the games allow it. Answer checked and correct.</t>
        </is>
      </c>
      <c r="M9" s="6" t="inlineStr">
        <is>
          <t>Add "Calc: yes".</t>
        </is>
      </c>
      <c r="N9" s="8" t="n"/>
      <c r="O9" s="8" t="n"/>
    </row>
    <row r="10">
      <c r="A10" s="6" t="inlineStr">
        <is>
          <t>aqa-bio-4.7-066</t>
        </is>
      </c>
      <c r="B10" s="6" t="inlineStr">
        <is>
          <t>AQA</t>
        </is>
      </c>
      <c r="C10" s="6" t="inlineStr">
        <is>
          <t>Biology</t>
        </is>
      </c>
      <c r="D10" s="6" t="inlineStr">
        <is>
          <t>Separate and Combined</t>
        </is>
      </c>
      <c r="E10" s="6" t="inlineStr">
        <is>
          <t>Both</t>
        </is>
      </c>
      <c r="F10" s="6" t="inlineStr">
        <is>
          <t>4.7</t>
        </is>
      </c>
      <c r="G10" s="6" t="inlineStr">
        <is>
          <t>4.7.4.3</t>
        </is>
      </c>
      <c r="H10" s="6" t="inlineStr">
        <is>
          <t>One trophic level has 500 g of biomass and the next has 25 g. What is the percentage efficiency of transfer?</t>
        </is>
      </c>
      <c r="I10" s="6" t="inlineStr">
        <is>
          <t>5%</t>
        </is>
      </c>
      <c r="J10" s="6" t="inlineStr">
        <is>
          <t>5; 5 per cent</t>
        </is>
      </c>
      <c r="K10" s="7" t="inlineStr">
        <is>
          <t>Minor</t>
        </is>
      </c>
      <c r="L10" s="6" t="inlineStr">
        <is>
          <t>Multi-step calculation without the Calc tag, so it gets no extra working time where the games allow it. Answer checked and correct.</t>
        </is>
      </c>
      <c r="M10" s="6" t="inlineStr">
        <is>
          <t>Add "Calc: yes".</t>
        </is>
      </c>
      <c r="N10" s="8" t="n"/>
      <c r="O10" s="8" t="n"/>
    </row>
    <row r="11">
      <c r="A11" s="6" t="inlineStr">
        <is>
          <t>edexcel-bio-1-020</t>
        </is>
      </c>
      <c r="B11" s="6" t="inlineStr">
        <is>
          <t>Edexcel</t>
        </is>
      </c>
      <c r="C11" s="6" t="inlineStr">
        <is>
          <t>Biology</t>
        </is>
      </c>
      <c r="D11" s="6" t="inlineStr">
        <is>
          <t>Separate and Combined</t>
        </is>
      </c>
      <c r="E11" s="6" t="inlineStr">
        <is>
          <t>Both</t>
        </is>
      </c>
      <c r="F11" s="6" t="inlineStr">
        <is>
          <t>1</t>
        </is>
      </c>
      <c r="G11" s="6" t="inlineStr">
        <is>
          <t>1.6</t>
        </is>
      </c>
      <c r="H11" s="6" t="inlineStr">
        <is>
          <t>A cell image is 6 mm wide at ×300 magnification. What is the real width in micrometres?</t>
        </is>
      </c>
      <c r="I11" s="6" t="inlineStr">
        <is>
          <t>20 µm</t>
        </is>
      </c>
      <c r="J11" s="6" t="inlineStr">
        <is>
          <t>20 micrometres; 0.02 mm</t>
        </is>
      </c>
      <c r="K11" s="7" t="inlineStr">
        <is>
          <t>Minor</t>
        </is>
      </c>
      <c r="L11" s="6" t="inlineStr">
        <is>
          <t>Multi-step calculation without the Calc tag, so it gets no extra working time where the games allow it. Answer checked and correct.</t>
        </is>
      </c>
      <c r="M11" s="6" t="inlineStr">
        <is>
          <t>Add "Calc: yes".</t>
        </is>
      </c>
      <c r="N11" s="8" t="n"/>
      <c r="O11" s="8" t="n"/>
    </row>
    <row r="12">
      <c r="A12" s="6" t="inlineStr">
        <is>
          <t>edexcel-bio-1-039</t>
        </is>
      </c>
      <c r="B12" s="6" t="inlineStr">
        <is>
          <t>Edexcel</t>
        </is>
      </c>
      <c r="C12" s="6" t="inlineStr">
        <is>
          <t>Biology</t>
        </is>
      </c>
      <c r="D12" s="6" t="inlineStr">
        <is>
          <t>Separate and Combined</t>
        </is>
      </c>
      <c r="E12" s="6" t="inlineStr">
        <is>
          <t>Both</t>
        </is>
      </c>
      <c r="F12" s="6" t="inlineStr">
        <is>
          <t>1</t>
        </is>
      </c>
      <c r="G12" s="6" t="inlineStr">
        <is>
          <t>1.11</t>
        </is>
      </c>
      <c r="H12" s="6" t="inlineStr">
        <is>
          <t>An enzyme reaction produces 60 cm³ of gas in 2 minutes. What is the rate in cm³ per second?</t>
        </is>
      </c>
      <c r="I12" s="6" t="inlineStr">
        <is>
          <t>0.5 cm³/s</t>
        </is>
      </c>
      <c r="J12" s="6" t="inlineStr">
        <is>
          <t>0.5 cm³ per second; 0.5 cm³ s⁻¹</t>
        </is>
      </c>
      <c r="K12" s="7" t="inlineStr">
        <is>
          <t>Minor</t>
        </is>
      </c>
      <c r="L12" s="6" t="inlineStr">
        <is>
          <t>Multi-step calculation without the Calc tag, so it gets no extra working time where the games allow it. Answer checked and correct.</t>
        </is>
      </c>
      <c r="M12" s="6" t="inlineStr">
        <is>
          <t>Add "Calc: yes".</t>
        </is>
      </c>
      <c r="N12" s="8" t="n"/>
      <c r="O12" s="8" t="n"/>
    </row>
    <row r="13">
      <c r="A13" s="6" t="inlineStr">
        <is>
          <t>edexcel-bio-1-051</t>
        </is>
      </c>
      <c r="B13" s="6" t="inlineStr">
        <is>
          <t>Edexcel</t>
        </is>
      </c>
      <c r="C13" s="6" t="inlineStr">
        <is>
          <t>Biology</t>
        </is>
      </c>
      <c r="D13" s="6" t="inlineStr">
        <is>
          <t>Separate and Combined</t>
        </is>
      </c>
      <c r="E13" s="6" t="inlineStr">
        <is>
          <t>Both</t>
        </is>
      </c>
      <c r="F13" s="6" t="inlineStr">
        <is>
          <t>1</t>
        </is>
      </c>
      <c r="G13" s="6" t="inlineStr">
        <is>
          <t>1.14B</t>
        </is>
      </c>
      <c r="H13" s="6" t="inlineStr">
        <is>
          <t>A 2 g food sample heats 20 g of water by 10 °C. Use energy = mass × 4.2 × temperature rise. What is the energy per gram?</t>
        </is>
      </c>
      <c r="I13" s="6" t="inlineStr">
        <is>
          <t>420 J/g</t>
        </is>
      </c>
      <c r="J13" s="6" t="inlineStr">
        <is>
          <t>420 J per gram; 420</t>
        </is>
      </c>
      <c r="K13" s="7" t="inlineStr">
        <is>
          <t>Minor</t>
        </is>
      </c>
      <c r="L13" s="6" t="inlineStr">
        <is>
          <t>Multi-step calculation without the Calc tag, so it gets no extra working time where the games allow it. Answer checked and correct.</t>
        </is>
      </c>
      <c r="M13" s="6" t="inlineStr">
        <is>
          <t>Add "Calc: yes".</t>
        </is>
      </c>
      <c r="N13" s="8" t="n"/>
      <c r="O13" s="8" t="n"/>
    </row>
    <row r="14">
      <c r="A14" s="6" t="inlineStr">
        <is>
          <t>edexcel-bio-1-062</t>
        </is>
      </c>
      <c r="B14" s="6" t="inlineStr">
        <is>
          <t>Edexcel</t>
        </is>
      </c>
      <c r="C14" s="6" t="inlineStr">
        <is>
          <t>Biology</t>
        </is>
      </c>
      <c r="D14" s="6" t="inlineStr">
        <is>
          <t>Separate and Combined</t>
        </is>
      </c>
      <c r="E14" s="6" t="inlineStr">
        <is>
          <t>Both</t>
        </is>
      </c>
      <c r="F14" s="6" t="inlineStr">
        <is>
          <t>1</t>
        </is>
      </c>
      <c r="G14" s="6" t="inlineStr">
        <is>
          <t>1.17</t>
        </is>
      </c>
      <c r="H14" s="6" t="inlineStr">
        <is>
          <t>A potato cylinder's mass rises from 2.0 g to 2.5 g. What is the percentage gain?</t>
        </is>
      </c>
      <c r="I14" s="6" t="inlineStr">
        <is>
          <t>25%</t>
        </is>
      </c>
      <c r="J14" s="6" t="inlineStr">
        <is>
          <t>25; +25%</t>
        </is>
      </c>
      <c r="K14" s="7" t="inlineStr">
        <is>
          <t>Minor</t>
        </is>
      </c>
      <c r="L14" s="6" t="inlineStr">
        <is>
          <t>Multi-step calculation without the Calc tag, so it gets no extra working time where the games allow it. Answer checked and correct.</t>
        </is>
      </c>
      <c r="M14" s="6" t="inlineStr">
        <is>
          <t>Add "Calc: yes".</t>
        </is>
      </c>
      <c r="N14" s="8" t="n"/>
      <c r="O14" s="8" t="n"/>
    </row>
    <row r="15">
      <c r="A15" s="6" t="inlineStr">
        <is>
          <t>edexcel-bio-1-063</t>
        </is>
      </c>
      <c r="B15" s="6" t="inlineStr">
        <is>
          <t>Edexcel</t>
        </is>
      </c>
      <c r="C15" s="6" t="inlineStr">
        <is>
          <t>Biology</t>
        </is>
      </c>
      <c r="D15" s="6" t="inlineStr">
        <is>
          <t>Separate and Combined</t>
        </is>
      </c>
      <c r="E15" s="6" t="inlineStr">
        <is>
          <t>Both</t>
        </is>
      </c>
      <c r="F15" s="6" t="inlineStr">
        <is>
          <t>1</t>
        </is>
      </c>
      <c r="G15" s="6" t="inlineStr">
        <is>
          <t>1.17</t>
        </is>
      </c>
      <c r="H15" s="6" t="inlineStr">
        <is>
          <t>A potato cylinder's mass falls from 4.0 g to 3.6 g. What is the percentage change?</t>
        </is>
      </c>
      <c r="I15" s="6" t="inlineStr">
        <is>
          <t>−10%</t>
        </is>
      </c>
      <c r="J15" s="6" t="inlineStr">
        <is>
          <t>10% loss; -10</t>
        </is>
      </c>
      <c r="K15" s="7" t="inlineStr">
        <is>
          <t>Minor</t>
        </is>
      </c>
      <c r="L15" s="6" t="inlineStr">
        <is>
          <t>Multi-step calculation without the Calc tag, so it gets no extra working time where the games allow it. Answer checked and correct.</t>
        </is>
      </c>
      <c r="M15" s="6" t="inlineStr">
        <is>
          <t>Add "Calc: yes".</t>
        </is>
      </c>
      <c r="N15" s="8" t="n"/>
      <c r="O15" s="8" t="n"/>
    </row>
    <row r="16">
      <c r="A16" s="6" t="inlineStr">
        <is>
          <t>edexcel-bio-1-064</t>
        </is>
      </c>
      <c r="B16" s="6" t="inlineStr">
        <is>
          <t>Edexcel</t>
        </is>
      </c>
      <c r="C16" s="6" t="inlineStr">
        <is>
          <t>Biology</t>
        </is>
      </c>
      <c r="D16" s="6" t="inlineStr">
        <is>
          <t>Separate and Combined</t>
        </is>
      </c>
      <c r="E16" s="6" t="inlineStr">
        <is>
          <t>Both</t>
        </is>
      </c>
      <c r="F16" s="6" t="inlineStr">
        <is>
          <t>1</t>
        </is>
      </c>
      <c r="G16" s="6" t="inlineStr">
        <is>
          <t>1.17</t>
        </is>
      </c>
      <c r="H16" s="6" t="inlineStr">
        <is>
          <t>A potato cylinder's mass falls from 2.50 g to 2.20 g. What is the percentage change?</t>
        </is>
      </c>
      <c r="I16" s="6" t="inlineStr">
        <is>
          <t>−12%</t>
        </is>
      </c>
      <c r="J16" s="6" t="inlineStr">
        <is>
          <t>12% loss; -12</t>
        </is>
      </c>
      <c r="K16" s="7" t="inlineStr">
        <is>
          <t>Minor</t>
        </is>
      </c>
      <c r="L16" s="6" t="inlineStr">
        <is>
          <t>Multi-step calculation without the Calc tag, so it gets no extra working time where the games allow it. Answer checked and correct.</t>
        </is>
      </c>
      <c r="M16" s="6" t="inlineStr">
        <is>
          <t>Add "Calc: yes".</t>
        </is>
      </c>
      <c r="N16" s="8" t="n"/>
      <c r="O16" s="8" t="n"/>
    </row>
    <row r="17">
      <c r="A17" s="6" t="inlineStr">
        <is>
          <t>edexcel-bio-2-023</t>
        </is>
      </c>
      <c r="B17" s="6" t="inlineStr">
        <is>
          <t>Edexcel</t>
        </is>
      </c>
      <c r="C17" s="6" t="inlineStr">
        <is>
          <t>Biology</t>
        </is>
      </c>
      <c r="D17" s="6" t="inlineStr">
        <is>
          <t>Separate and Combined</t>
        </is>
      </c>
      <c r="E17" s="6" t="inlineStr">
        <is>
          <t>Both</t>
        </is>
      </c>
      <c r="F17" s="6" t="inlineStr">
        <is>
          <t>2</t>
        </is>
      </c>
      <c r="G17" s="6" t="inlineStr">
        <is>
          <t>2.7</t>
        </is>
      </c>
      <c r="H17" s="6" t="inlineStr">
        <is>
          <t>A baby's mass rises from 4 kg to 5 kg. What is the percentage gain in mass?</t>
        </is>
      </c>
      <c r="I17" s="6" t="inlineStr">
        <is>
          <t>25%</t>
        </is>
      </c>
      <c r="J17" s="6" t="inlineStr">
        <is>
          <t>25 per cent</t>
        </is>
      </c>
      <c r="K17" s="7" t="inlineStr">
        <is>
          <t>Minor</t>
        </is>
      </c>
      <c r="L17" s="6" t="inlineStr">
        <is>
          <t>Multi-step calculation without the Calc tag, so it gets no extra working time where the games allow it. Answer checked and correct.</t>
        </is>
      </c>
      <c r="M17" s="6" t="inlineStr">
        <is>
          <t>Add "Calc: yes".</t>
        </is>
      </c>
      <c r="N17" s="8" t="n"/>
      <c r="O17" s="8" t="n"/>
    </row>
    <row r="18">
      <c r="A18" s="6" t="inlineStr">
        <is>
          <t>edexcel-bio-2-045</t>
        </is>
      </c>
      <c r="B18" s="6" t="inlineStr">
        <is>
          <t>Edexcel</t>
        </is>
      </c>
      <c r="C18" s="6" t="inlineStr">
        <is>
          <t>Biology</t>
        </is>
      </c>
      <c r="D18" s="6" t="inlineStr">
        <is>
          <t>Separate and Combined</t>
        </is>
      </c>
      <c r="E18" s="6" t="inlineStr">
        <is>
          <t>Both</t>
        </is>
      </c>
      <c r="F18" s="6" t="inlineStr">
        <is>
          <t>2</t>
        </is>
      </c>
      <c r="G18" s="6" t="inlineStr">
        <is>
          <t>2.13</t>
        </is>
      </c>
      <c r="H18" s="6" t="inlineStr">
        <is>
          <t>An impulse travels 1.2 m along a neurone in 0.02 s. Use speed = distance ÷ time to find its speed.</t>
        </is>
      </c>
      <c r="I18" s="6" t="inlineStr">
        <is>
          <t>60 m/s</t>
        </is>
      </c>
      <c r="J18" s="6" t="inlineStr">
        <is>
          <t>60 metres per second; 60 m s⁻¹</t>
        </is>
      </c>
      <c r="K18" s="7" t="inlineStr">
        <is>
          <t>Minor</t>
        </is>
      </c>
      <c r="L18" s="6" t="inlineStr">
        <is>
          <t>Multi-step calculation without the Calc tag, so it gets no extra working time where the games allow it. Answer checked and correct.</t>
        </is>
      </c>
      <c r="M18" s="6" t="inlineStr">
        <is>
          <t>Add "Calc: yes".</t>
        </is>
      </c>
      <c r="N18" s="8" t="n"/>
      <c r="O18" s="8" t="n"/>
    </row>
    <row r="19">
      <c r="A19" s="6" t="inlineStr">
        <is>
          <t>edexcel-bio-5-011</t>
        </is>
      </c>
      <c r="B19" s="6" t="inlineStr">
        <is>
          <t>Edexcel</t>
        </is>
      </c>
      <c r="C19" s="6" t="inlineStr">
        <is>
          <t>Biology</t>
        </is>
      </c>
      <c r="D19" s="6" t="inlineStr">
        <is>
          <t>Separate and Combined</t>
        </is>
      </c>
      <c r="E19" s="6" t="inlineStr">
        <is>
          <t>Both</t>
        </is>
      </c>
      <c r="F19" s="6" t="inlineStr">
        <is>
          <t>5</t>
        </is>
      </c>
      <c r="G19" s="6" t="inlineStr">
        <is>
          <t>5.4</t>
        </is>
      </c>
      <c r="H19" s="6" t="inlineStr">
        <is>
          <t>Name the four types of pathogen.</t>
        </is>
      </c>
      <c r="I19" s="6" t="inlineStr">
        <is>
          <t>Viruses, bacteria, fungi, protists</t>
        </is>
      </c>
      <c r="J19" s="6" t="inlineStr">
        <is>
          <t>Any order; virus, bacterium, fungus, protist</t>
        </is>
      </c>
      <c r="K19" s="7" t="inlineStr">
        <is>
          <t>Minor</t>
        </is>
      </c>
      <c r="L19" s="6" t="inlineStr">
        <is>
          <t>"Any order" is listed as an accepted answer; it is a marking note, not an answer.</t>
        </is>
      </c>
      <c r="M19" s="6" t="inlineStr">
        <is>
          <t>Move "Any order" into the Note line.</t>
        </is>
      </c>
      <c r="N19" s="8" t="n"/>
      <c r="O19" s="8" t="n"/>
    </row>
    <row r="20">
      <c r="A20" s="6" t="inlineStr">
        <is>
          <t>edexcel-bio-5-066</t>
        </is>
      </c>
      <c r="B20" s="6" t="inlineStr">
        <is>
          <t>Edexcel</t>
        </is>
      </c>
      <c r="C20" s="6" t="inlineStr">
        <is>
          <t>Biology</t>
        </is>
      </c>
      <c r="D20" s="6" t="inlineStr">
        <is>
          <t>Separate and Combined</t>
        </is>
      </c>
      <c r="E20" s="6" t="inlineStr">
        <is>
          <t>Both</t>
        </is>
      </c>
      <c r="F20" s="6" t="inlineStr">
        <is>
          <t>5</t>
        </is>
      </c>
      <c r="G20" s="6" t="inlineStr">
        <is>
          <t>5.19B</t>
        </is>
      </c>
      <c r="H20" s="6" t="inlineStr">
        <is>
          <t>Using π = 3, what is the area of a clear zone with radius 4 mm?</t>
        </is>
      </c>
      <c r="I20" s="6" t="inlineStr">
        <is>
          <t>48 mm²</t>
        </is>
      </c>
      <c r="J20" s="6" t="inlineStr">
        <is>
          <t>48 square millimetres; 48</t>
        </is>
      </c>
      <c r="K20" s="7" t="inlineStr">
        <is>
          <t>Minor</t>
        </is>
      </c>
      <c r="L20" s="6" t="inlineStr">
        <is>
          <t>Multi-step calculation without the Calc tag, so it gets no extra working time where the games allow it. Answer checked and correct.</t>
        </is>
      </c>
      <c r="M20" s="6" t="inlineStr">
        <is>
          <t>Add "Calc: yes".</t>
        </is>
      </c>
      <c r="N20" s="8" t="n"/>
      <c r="O20" s="8" t="n"/>
    </row>
    <row r="21">
      <c r="A21" s="6" t="inlineStr">
        <is>
          <t>edexcel-bio-5-067</t>
        </is>
      </c>
      <c r="B21" s="6" t="inlineStr">
        <is>
          <t>Edexcel</t>
        </is>
      </c>
      <c r="C21" s="6" t="inlineStr">
        <is>
          <t>Biology</t>
        </is>
      </c>
      <c r="D21" s="6" t="inlineStr">
        <is>
          <t>Separate and Combined</t>
        </is>
      </c>
      <c r="E21" s="6" t="inlineStr">
        <is>
          <t>Both</t>
        </is>
      </c>
      <c r="F21" s="6" t="inlineStr">
        <is>
          <t>5</t>
        </is>
      </c>
      <c r="G21" s="6" t="inlineStr">
        <is>
          <t>5.19B</t>
        </is>
      </c>
      <c r="H21" s="6" t="inlineStr">
        <is>
          <t>Using π = 3, what is the area of a clear zone with diameter 10 mm?</t>
        </is>
      </c>
      <c r="I21" s="6" t="inlineStr">
        <is>
          <t>75 mm²</t>
        </is>
      </c>
      <c r="J21" s="6" t="inlineStr">
        <is>
          <t>75 square millimetres; 75</t>
        </is>
      </c>
      <c r="K21" s="7" t="inlineStr">
        <is>
          <t>Minor</t>
        </is>
      </c>
      <c r="L21" s="6" t="inlineStr">
        <is>
          <t>Multi-step calculation without the Calc tag, so it gets no extra working time where the games allow it. Answer checked and correct.</t>
        </is>
      </c>
      <c r="M21" s="6" t="inlineStr">
        <is>
          <t>Add "Calc: yes".</t>
        </is>
      </c>
      <c r="N21" s="8" t="n"/>
      <c r="O21" s="8" t="n"/>
    </row>
    <row r="22">
      <c r="A22" s="6" t="inlineStr">
        <is>
          <t>edexcel-bio-5-081</t>
        </is>
      </c>
      <c r="B22" s="6" t="inlineStr">
        <is>
          <t>Edexcel</t>
        </is>
      </c>
      <c r="C22" s="6" t="inlineStr">
        <is>
          <t>Biology</t>
        </is>
      </c>
      <c r="D22" s="6" t="inlineStr">
        <is>
          <t>Separate and Combined</t>
        </is>
      </c>
      <c r="E22" s="6" t="inlineStr">
        <is>
          <t>Both</t>
        </is>
      </c>
      <c r="F22" s="6" t="inlineStr">
        <is>
          <t>5</t>
        </is>
      </c>
      <c r="G22" s="6" t="inlineStr">
        <is>
          <t>5.24</t>
        </is>
      </c>
      <c r="H22" s="6" t="inlineStr">
        <is>
          <t>A person has a mass of 72 kg and a height of 1.5 m. What is their BMI?</t>
        </is>
      </c>
      <c r="I22" s="6" t="inlineStr">
        <is>
          <t>32</t>
        </is>
      </c>
      <c r="J22" s="6" t="inlineStr">
        <is>
          <t>32 kg/m²</t>
        </is>
      </c>
      <c r="K22" s="7" t="inlineStr">
        <is>
          <t>Minor</t>
        </is>
      </c>
      <c r="L22" s="6" t="inlineStr">
        <is>
          <t>Multi-step calculation without the Calc tag, so it gets no extra working time where the games allow it. Answer checked and correct.</t>
        </is>
      </c>
      <c r="M22" s="6" t="inlineStr">
        <is>
          <t>Add "Calc: yes".</t>
        </is>
      </c>
      <c r="N22" s="8" t="n"/>
      <c r="O22" s="8" t="n"/>
    </row>
    <row r="23">
      <c r="A23" s="6" t="inlineStr">
        <is>
          <t>edexcel-bio-7-056</t>
        </is>
      </c>
      <c r="B23" s="6" t="inlineStr">
        <is>
          <t>Edexcel</t>
        </is>
      </c>
      <c r="C23" s="6" t="inlineStr">
        <is>
          <t>Biology</t>
        </is>
      </c>
      <c r="D23" s="6" t="inlineStr">
        <is>
          <t>Separate and Combined</t>
        </is>
      </c>
      <c r="E23" s="6" t="inlineStr">
        <is>
          <t>Both</t>
        </is>
      </c>
      <c r="F23" s="6" t="inlineStr">
        <is>
          <t>7</t>
        </is>
      </c>
      <c r="G23" s="6" t="inlineStr">
        <is>
          <t>7.17</t>
        </is>
      </c>
      <c r="H23" s="6" t="inlineStr">
        <is>
          <t>Calculate BMI for a person of mass 80 kg and height 2 m. BMI = mass ÷ height².</t>
        </is>
      </c>
      <c r="I23" s="6" t="inlineStr">
        <is>
          <t>20 kg/m²</t>
        </is>
      </c>
      <c r="J23" s="6" t="inlineStr">
        <is>
          <t>20</t>
        </is>
      </c>
      <c r="K23" s="7" t="inlineStr">
        <is>
          <t>Minor</t>
        </is>
      </c>
      <c r="L23" s="6" t="inlineStr">
        <is>
          <t>Multi-step calculation without the Calc tag, so it gets no extra working time where the games allow it. Answer checked and correct.</t>
        </is>
      </c>
      <c r="M23" s="6" t="inlineStr">
        <is>
          <t>Add "Calc: yes".</t>
        </is>
      </c>
      <c r="N23" s="8" t="n"/>
      <c r="O23" s="8" t="n"/>
    </row>
    <row r="24">
      <c r="A24" s="6" t="inlineStr">
        <is>
          <t>edexcel-bio-7-057</t>
        </is>
      </c>
      <c r="B24" s="6" t="inlineStr">
        <is>
          <t>Edexcel</t>
        </is>
      </c>
      <c r="C24" s="6" t="inlineStr">
        <is>
          <t>Biology</t>
        </is>
      </c>
      <c r="D24" s="6" t="inlineStr">
        <is>
          <t>Separate and Combined</t>
        </is>
      </c>
      <c r="E24" s="6" t="inlineStr">
        <is>
          <t>Both</t>
        </is>
      </c>
      <c r="F24" s="6" t="inlineStr">
        <is>
          <t>7</t>
        </is>
      </c>
      <c r="G24" s="6" t="inlineStr">
        <is>
          <t>7.17</t>
        </is>
      </c>
      <c r="H24" s="6" t="inlineStr">
        <is>
          <t>Calculate BMI for a person of mass 64 kg and height 1.6 m. BMI = mass ÷ height².</t>
        </is>
      </c>
      <c r="I24" s="6" t="inlineStr">
        <is>
          <t>25 kg/m²</t>
        </is>
      </c>
      <c r="J24" s="6" t="inlineStr">
        <is>
          <t>25</t>
        </is>
      </c>
      <c r="K24" s="7" t="inlineStr">
        <is>
          <t>Minor</t>
        </is>
      </c>
      <c r="L24" s="6" t="inlineStr">
        <is>
          <t>Multi-step calculation without the Calc tag, so it gets no extra working time where the games allow it. Answer checked and correct.</t>
        </is>
      </c>
      <c r="M24" s="6" t="inlineStr">
        <is>
          <t>Add "Calc: yes".</t>
        </is>
      </c>
      <c r="N24" s="8" t="n"/>
      <c r="O24" s="8" t="n"/>
    </row>
    <row r="25">
      <c r="A25" s="6" t="inlineStr">
        <is>
          <t>edexcel-bio-8-047</t>
        </is>
      </c>
      <c r="B25" s="6" t="inlineStr">
        <is>
          <t>Edexcel</t>
        </is>
      </c>
      <c r="C25" s="6" t="inlineStr">
        <is>
          <t>Biology</t>
        </is>
      </c>
      <c r="D25" s="6" t="inlineStr">
        <is>
          <t>Separate and Combined</t>
        </is>
      </c>
      <c r="E25" s="6" t="inlineStr">
        <is>
          <t>Both</t>
        </is>
      </c>
      <c r="F25" s="6" t="inlineStr">
        <is>
          <t>8</t>
        </is>
      </c>
      <c r="G25" s="6" t="inlineStr">
        <is>
          <t>8.12</t>
        </is>
      </c>
      <c r="H25" s="6" t="inlineStr">
        <is>
          <t>Cardiac output is 5000 cm³ per minute and heart rate is 50 beats per minute. What is the stroke volume?</t>
        </is>
      </c>
      <c r="I25" s="6" t="inlineStr">
        <is>
          <t>100 cm³</t>
        </is>
      </c>
      <c r="J25" s="6" t="inlineStr">
        <is>
          <t>100 cm³ per beat; 100 ml; 0.1 dm³</t>
        </is>
      </c>
      <c r="K25" s="7" t="inlineStr">
        <is>
          <t>Minor</t>
        </is>
      </c>
      <c r="L25" s="6" t="inlineStr">
        <is>
          <t>Multi-step calculation without the Calc tag, so it gets no extra working time where the games allow it. Answer checked and correct.</t>
        </is>
      </c>
      <c r="M25" s="6" t="inlineStr">
        <is>
          <t>Add "Calc: yes".</t>
        </is>
      </c>
      <c r="N25" s="8" t="n"/>
      <c r="O25" s="8" t="n"/>
    </row>
    <row r="26">
      <c r="A26" s="6" t="inlineStr">
        <is>
          <t>edexcel-bio-9-021</t>
        </is>
      </c>
      <c r="B26" s="6" t="inlineStr">
        <is>
          <t>Edexcel</t>
        </is>
      </c>
      <c r="C26" s="6" t="inlineStr">
        <is>
          <t>Biology</t>
        </is>
      </c>
      <c r="D26" s="6" t="inlineStr">
        <is>
          <t>Separate and Combined</t>
        </is>
      </c>
      <c r="E26" s="6" t="inlineStr">
        <is>
          <t>Both</t>
        </is>
      </c>
      <c r="F26" s="6" t="inlineStr">
        <is>
          <t>9</t>
        </is>
      </c>
      <c r="G26" s="6" t="inlineStr">
        <is>
          <t>9.6</t>
        </is>
      </c>
      <c r="H26" s="6" t="inlineStr">
        <is>
          <t>A mean of 3 plants per 1 m² quadrat is found in a 50 m² lawn. Estimate the total population.</t>
        </is>
      </c>
      <c r="I26" s="6" t="inlineStr">
        <is>
          <t>150</t>
        </is>
      </c>
      <c r="J26" s="6" t="inlineStr">
        <is>
          <t>150 plants</t>
        </is>
      </c>
      <c r="K26" s="7" t="inlineStr">
        <is>
          <t>Minor</t>
        </is>
      </c>
      <c r="L26" s="6" t="inlineStr">
        <is>
          <t>Multi-step calculation without the Calc tag, so it gets no extra working time where the games allow it. Answer checked and correct.</t>
        </is>
      </c>
      <c r="M26" s="6" t="inlineStr">
        <is>
          <t>Add "Calc: yes".</t>
        </is>
      </c>
      <c r="N26" s="8" t="n"/>
      <c r="O26" s="8" t="n"/>
    </row>
    <row r="27">
      <c r="A27" s="6" t="inlineStr">
        <is>
          <t>edexcel-bio-9-022</t>
        </is>
      </c>
      <c r="B27" s="6" t="inlineStr">
        <is>
          <t>Edexcel</t>
        </is>
      </c>
      <c r="C27" s="6" t="inlineStr">
        <is>
          <t>Biology</t>
        </is>
      </c>
      <c r="D27" s="6" t="inlineStr">
        <is>
          <t>Separate and Combined</t>
        </is>
      </c>
      <c r="E27" s="6" t="inlineStr">
        <is>
          <t>Both</t>
        </is>
      </c>
      <c r="F27" s="6" t="inlineStr">
        <is>
          <t>9</t>
        </is>
      </c>
      <c r="G27" s="6" t="inlineStr">
        <is>
          <t>9.6</t>
        </is>
      </c>
      <c r="H27" s="6" t="inlineStr">
        <is>
          <t>A 0.25 m² quadrat has a mean of 2 buttercups. Estimate the number in a 100 m² field.</t>
        </is>
      </c>
      <c r="I27" s="6" t="inlineStr">
        <is>
          <t>800</t>
        </is>
      </c>
      <c r="J27" s="6" t="inlineStr">
        <is>
          <t>800 buttercups</t>
        </is>
      </c>
      <c r="K27" s="7" t="inlineStr">
        <is>
          <t>Minor</t>
        </is>
      </c>
      <c r="L27" s="6" t="inlineStr">
        <is>
          <t>Multi-step calculation without the Calc tag, so it gets no extra working time where the games allow it. Answer checked and correct.</t>
        </is>
      </c>
      <c r="M27" s="6" t="inlineStr">
        <is>
          <t>Add "Calc: yes".</t>
        </is>
      </c>
      <c r="N27" s="8" t="n"/>
      <c r="O27" s="8" t="n"/>
    </row>
    <row r="28">
      <c r="A28" s="6" t="inlineStr">
        <is>
          <t>edexcel-bio-9-027</t>
        </is>
      </c>
      <c r="B28" s="6" t="inlineStr">
        <is>
          <t>Edexcel</t>
        </is>
      </c>
      <c r="C28" s="6" t="inlineStr">
        <is>
          <t>Biology</t>
        </is>
      </c>
      <c r="D28" s="6" t="inlineStr">
        <is>
          <t>Separate and Combined</t>
        </is>
      </c>
      <c r="E28" s="6" t="inlineStr">
        <is>
          <t>Both</t>
        </is>
      </c>
      <c r="F28" s="6" t="inlineStr">
        <is>
          <t>9</t>
        </is>
      </c>
      <c r="G28" s="6" t="inlineStr">
        <is>
          <t>9.8B</t>
        </is>
      </c>
      <c r="H28" s="6" t="inlineStr">
        <is>
          <t>Grass has 10 000 kJ and rabbits get 1000 kJ. What is the efficiency of the energy transfer?</t>
        </is>
      </c>
      <c r="I28" s="6" t="inlineStr">
        <is>
          <t>10%</t>
        </is>
      </c>
      <c r="J28" s="6" t="inlineStr">
        <is>
          <t>10 percent</t>
        </is>
      </c>
      <c r="K28" s="7" t="inlineStr">
        <is>
          <t>Minor</t>
        </is>
      </c>
      <c r="L28" s="6" t="inlineStr">
        <is>
          <t>Multi-step calculation without the Calc tag, so it gets no extra working time where the games allow it. Answer checked and correct.</t>
        </is>
      </c>
      <c r="M28" s="6" t="inlineStr">
        <is>
          <t>Add "Calc: yes".</t>
        </is>
      </c>
      <c r="N28" s="8" t="n"/>
      <c r="O28" s="8" t="n"/>
    </row>
    <row r="29">
      <c r="A29" s="6" t="inlineStr">
        <is>
          <t>edexcel-bio-9-028</t>
        </is>
      </c>
      <c r="B29" s="6" t="inlineStr">
        <is>
          <t>Edexcel</t>
        </is>
      </c>
      <c r="C29" s="6" t="inlineStr">
        <is>
          <t>Biology</t>
        </is>
      </c>
      <c r="D29" s="6" t="inlineStr">
        <is>
          <t>Separate and Combined</t>
        </is>
      </c>
      <c r="E29" s="6" t="inlineStr">
        <is>
          <t>Both</t>
        </is>
      </c>
      <c r="F29" s="6" t="inlineStr">
        <is>
          <t>9</t>
        </is>
      </c>
      <c r="G29" s="6" t="inlineStr">
        <is>
          <t>9.8B</t>
        </is>
      </c>
      <c r="H29" s="6" t="inlineStr">
        <is>
          <t>A level has 2000 kJ and 5% passes to the next level. How much energy is transferred?</t>
        </is>
      </c>
      <c r="I29" s="6" t="inlineStr">
        <is>
          <t>100 kJ</t>
        </is>
      </c>
      <c r="J29" s="6" t="inlineStr"/>
      <c r="K29" s="7" t="inlineStr">
        <is>
          <t>Minor</t>
        </is>
      </c>
      <c r="L29" s="6" t="inlineStr">
        <is>
          <t>Multi-step calculation without the Calc tag, so it gets no extra working time where the games allow it. Answer checked and correct.</t>
        </is>
      </c>
      <c r="M29" s="6" t="inlineStr">
        <is>
          <t>Add "Calc: yes".</t>
        </is>
      </c>
      <c r="N29" s="8" t="n"/>
      <c r="O29" s="8" t="n"/>
    </row>
    <row r="30">
      <c r="A30" s="6" t="inlineStr">
        <is>
          <t>edexcel-bio-9-029</t>
        </is>
      </c>
      <c r="B30" s="6" t="inlineStr">
        <is>
          <t>Edexcel</t>
        </is>
      </c>
      <c r="C30" s="6" t="inlineStr">
        <is>
          <t>Biology</t>
        </is>
      </c>
      <c r="D30" s="6" t="inlineStr">
        <is>
          <t>Separate and Combined</t>
        </is>
      </c>
      <c r="E30" s="6" t="inlineStr">
        <is>
          <t>Both</t>
        </is>
      </c>
      <c r="F30" s="6" t="inlineStr">
        <is>
          <t>9</t>
        </is>
      </c>
      <c r="G30" s="6" t="inlineStr">
        <is>
          <t>9.8B</t>
        </is>
      </c>
      <c r="H30" s="6" t="inlineStr">
        <is>
          <t>Producers have 1000 g of biomass and primary consumers 150 g. What percentage of the biomass is transferred?</t>
        </is>
      </c>
      <c r="I30" s="6" t="inlineStr">
        <is>
          <t>15%</t>
        </is>
      </c>
      <c r="J30" s="6" t="inlineStr">
        <is>
          <t>15 percent</t>
        </is>
      </c>
      <c r="K30" s="7" t="inlineStr">
        <is>
          <t>Minor</t>
        </is>
      </c>
      <c r="L30" s="6" t="inlineStr">
        <is>
          <t>Multi-step calculation without the Calc tag, so it gets no extra working time where the games allow it. Answer checked and correct.</t>
        </is>
      </c>
      <c r="M30" s="6" t="inlineStr">
        <is>
          <t>Add "Calc: yes".</t>
        </is>
      </c>
      <c r="N30" s="8" t="n"/>
      <c r="O30" s="8" t="n"/>
    </row>
    <row r="31">
      <c r="A31" s="6" t="inlineStr">
        <is>
          <t>edexcel-bio-9-030</t>
        </is>
      </c>
      <c r="B31" s="6" t="inlineStr">
        <is>
          <t>Edexcel</t>
        </is>
      </c>
      <c r="C31" s="6" t="inlineStr">
        <is>
          <t>Biology</t>
        </is>
      </c>
      <c r="D31" s="6" t="inlineStr">
        <is>
          <t>Separate and Combined</t>
        </is>
      </c>
      <c r="E31" s="6" t="inlineStr">
        <is>
          <t>Both</t>
        </is>
      </c>
      <c r="F31" s="6" t="inlineStr">
        <is>
          <t>9</t>
        </is>
      </c>
      <c r="G31" s="6" t="inlineStr">
        <is>
          <t>9.8B</t>
        </is>
      </c>
      <c r="H31" s="6" t="inlineStr">
        <is>
          <t>Primary consumers have 400 kJ and secondary consumers 20 kJ. What percentage of energy is lost?</t>
        </is>
      </c>
      <c r="I31" s="6" t="inlineStr">
        <is>
          <t>95%</t>
        </is>
      </c>
      <c r="J31" s="6" t="inlineStr">
        <is>
          <t>95 percent</t>
        </is>
      </c>
      <c r="K31" s="7" t="inlineStr">
        <is>
          <t>Minor</t>
        </is>
      </c>
      <c r="L31" s="6" t="inlineStr">
        <is>
          <t>Multi-step calculation without the Calc tag, so it gets no extra working time where the games allow it. Answer checked and correct.</t>
        </is>
      </c>
      <c r="M31" s="6" t="inlineStr">
        <is>
          <t>Add "Calc: yes".</t>
        </is>
      </c>
      <c r="N31" s="8" t="n"/>
      <c r="O31" s="8" t="n"/>
    </row>
  </sheetData>
  <autoFilter ref="A1:O31"/>
  <dataValidations count="1">
    <dataValidation sqref="N2 N3 N4 N5 N6 N7 N8 N9 N10 N11 N12 N13 N14 N15 N16 N17 N18 N19 N20 N21 N22 N23 N24 N25 N26 N27 N28 N29 N30 N31" showDropDown="0" showInputMessage="0" showErrorMessage="0" allowBlank="1" type="list">
      <formula1>"Use suggested fix,Keep as is,Remove,I'll edit"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6" customWidth="1" min="4" max="4"/>
    <col width="12" customWidth="1" min="5" max="5"/>
    <col width="9" customWidth="1" min="6" max="6"/>
    <col width="11" customWidth="1" min="7" max="7"/>
    <col width="50" customWidth="1" min="8" max="8"/>
    <col width="26" customWidth="1" min="9" max="9"/>
    <col width="30" customWidth="1" min="10" max="10"/>
    <col width="10" customWidth="1" min="11" max="11"/>
    <col width="46" customWidth="1" min="12" max="12"/>
    <col width="46" customWidth="1" min="13" max="13"/>
    <col width="18" customWidth="1" min="14" max="14"/>
    <col width="30" customWidth="1" min="15" max="15"/>
  </cols>
  <sheetData>
    <row r="1">
      <c r="A1" s="3" t="inlineStr">
        <is>
          <t>ID</t>
        </is>
      </c>
      <c r="B1" s="3" t="inlineStr">
        <is>
          <t>Board</t>
        </is>
      </c>
      <c r="C1" s="3" t="inlineStr">
        <is>
          <t>Subject</t>
        </is>
      </c>
      <c r="D1" s="3" t="inlineStr">
        <is>
          <t>Course</t>
        </is>
      </c>
      <c r="E1" s="3" t="inlineStr">
        <is>
          <t>Tier</t>
        </is>
      </c>
      <c r="F1" s="3" t="inlineStr">
        <is>
          <t>Topic</t>
        </is>
      </c>
      <c r="G1" s="3" t="inlineStr">
        <is>
          <t>Spec ref</t>
        </is>
      </c>
      <c r="H1" s="3" t="inlineStr">
        <is>
          <t>Question</t>
        </is>
      </c>
      <c r="I1" s="3" t="inlineStr">
        <is>
          <t>Answer</t>
        </is>
      </c>
      <c r="J1" s="3" t="inlineStr">
        <is>
          <t>Accepted answers</t>
        </is>
      </c>
      <c r="K1" s="3" t="inlineStr">
        <is>
          <t>Grade</t>
        </is>
      </c>
      <c r="L1" s="3" t="inlineStr">
        <is>
          <t>Reason</t>
        </is>
      </c>
      <c r="M1" s="3" t="inlineStr">
        <is>
          <t>Suggested fix</t>
        </is>
      </c>
      <c r="N1" s="3" t="inlineStr">
        <is>
          <t>Rob's decision</t>
        </is>
      </c>
      <c r="O1" s="3" t="inlineStr">
        <is>
          <t>Rob's note</t>
        </is>
      </c>
    </row>
    <row r="2">
      <c r="A2" s="9" t="inlineStr">
        <is>
          <t>No flags in this subject.</t>
        </is>
      </c>
    </row>
  </sheetData>
  <autoFilter ref="A1:O2"/>
  <dataValidations count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6" customWidth="1" min="4" max="4"/>
    <col width="12" customWidth="1" min="5" max="5"/>
    <col width="9" customWidth="1" min="6" max="6"/>
    <col width="11" customWidth="1" min="7" max="7"/>
    <col width="50" customWidth="1" min="8" max="8"/>
    <col width="26" customWidth="1" min="9" max="9"/>
    <col width="30" customWidth="1" min="10" max="10"/>
    <col width="10" customWidth="1" min="11" max="11"/>
    <col width="46" customWidth="1" min="12" max="12"/>
    <col width="46" customWidth="1" min="13" max="13"/>
    <col width="18" customWidth="1" min="14" max="14"/>
    <col width="30" customWidth="1" min="15" max="15"/>
  </cols>
  <sheetData>
    <row r="1">
      <c r="A1" s="3" t="inlineStr">
        <is>
          <t>ID</t>
        </is>
      </c>
      <c r="B1" s="3" t="inlineStr">
        <is>
          <t>Board</t>
        </is>
      </c>
      <c r="C1" s="3" t="inlineStr">
        <is>
          <t>Subject</t>
        </is>
      </c>
      <c r="D1" s="3" t="inlineStr">
        <is>
          <t>Course</t>
        </is>
      </c>
      <c r="E1" s="3" t="inlineStr">
        <is>
          <t>Tier</t>
        </is>
      </c>
      <c r="F1" s="3" t="inlineStr">
        <is>
          <t>Topic</t>
        </is>
      </c>
      <c r="G1" s="3" t="inlineStr">
        <is>
          <t>Spec ref</t>
        </is>
      </c>
      <c r="H1" s="3" t="inlineStr">
        <is>
          <t>Question</t>
        </is>
      </c>
      <c r="I1" s="3" t="inlineStr">
        <is>
          <t>Answer</t>
        </is>
      </c>
      <c r="J1" s="3" t="inlineStr">
        <is>
          <t>Accepted answers</t>
        </is>
      </c>
      <c r="K1" s="3" t="inlineStr">
        <is>
          <t>Grade</t>
        </is>
      </c>
      <c r="L1" s="3" t="inlineStr">
        <is>
          <t>Reason</t>
        </is>
      </c>
      <c r="M1" s="3" t="inlineStr">
        <is>
          <t>Suggested fix</t>
        </is>
      </c>
      <c r="N1" s="3" t="inlineStr">
        <is>
          <t>Rob's decision</t>
        </is>
      </c>
      <c r="O1" s="3" t="inlineStr">
        <is>
          <t>Rob's note</t>
        </is>
      </c>
    </row>
    <row r="2">
      <c r="A2" s="6" t="inlineStr">
        <is>
          <t>aqa-phys-4.3-043</t>
        </is>
      </c>
      <c r="B2" s="6" t="inlineStr">
        <is>
          <t>AQA</t>
        </is>
      </c>
      <c r="C2" s="6" t="inlineStr">
        <is>
          <t>Physics</t>
        </is>
      </c>
      <c r="D2" s="6" t="inlineStr">
        <is>
          <t>Separate and Combined</t>
        </is>
      </c>
      <c r="E2" s="6" t="inlineStr">
        <is>
          <t>Both</t>
        </is>
      </c>
      <c r="F2" s="6" t="inlineStr">
        <is>
          <t>4.3</t>
        </is>
      </c>
      <c r="G2" s="6" t="inlineStr">
        <is>
          <t>4.3.1.2</t>
        </is>
      </c>
      <c r="H2" s="6" t="inlineStr">
        <is>
          <t>What is the change of state from liquid to gas at the boiling point called?</t>
        </is>
      </c>
      <c r="I2" s="6" t="inlineStr">
        <is>
          <t>Boiling</t>
        </is>
      </c>
      <c r="J2" s="6" t="inlineStr"/>
      <c r="K2" s="7" t="inlineStr">
        <is>
          <t>Minor</t>
        </is>
      </c>
      <c r="L2" s="6" t="inlineStr">
        <is>
          <t>"At the boiling point" gives away "Boiling"; evaporation is also a liquid-to-gas change, so the question is weak.</t>
        </is>
      </c>
      <c r="M2" s="6" t="inlineStr">
        <is>
          <t>Reword: "What is the change of state from liquid to gas called?" (A: Boiling or evaporating; Accept: Evaporation; Vaporisation)</t>
        </is>
      </c>
      <c r="N2" s="8" t="n"/>
      <c r="O2" s="8" t="n"/>
    </row>
  </sheetData>
  <autoFilter ref="A1:O2"/>
  <dataValidations count="1">
    <dataValidation sqref="N2" showDropDown="0" showInputMessage="0" showErrorMessage="0" allowBlank="1" type="list">
      <formula1>"Use suggested fix,Keep as is,Remove,I'll edit"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6" customWidth="1" min="4" max="4"/>
    <col width="12" customWidth="1" min="5" max="5"/>
    <col width="9" customWidth="1" min="6" max="6"/>
    <col width="11" customWidth="1" min="7" max="7"/>
    <col width="50" customWidth="1" min="8" max="8"/>
    <col width="26" customWidth="1" min="9" max="9"/>
    <col width="30" customWidth="1" min="10" max="10"/>
    <col width="10" customWidth="1" min="11" max="11"/>
    <col width="46" customWidth="1" min="12" max="12"/>
    <col width="46" customWidth="1" min="13" max="13"/>
    <col width="18" customWidth="1" min="14" max="14"/>
    <col width="30" customWidth="1" min="15" max="15"/>
  </cols>
  <sheetData>
    <row r="1">
      <c r="A1" s="3" t="inlineStr">
        <is>
          <t>ID</t>
        </is>
      </c>
      <c r="B1" s="3" t="inlineStr">
        <is>
          <t>Board</t>
        </is>
      </c>
      <c r="C1" s="3" t="inlineStr">
        <is>
          <t>Subject</t>
        </is>
      </c>
      <c r="D1" s="3" t="inlineStr">
        <is>
          <t>Course</t>
        </is>
      </c>
      <c r="E1" s="3" t="inlineStr">
        <is>
          <t>Tier</t>
        </is>
      </c>
      <c r="F1" s="3" t="inlineStr">
        <is>
          <t>Topic</t>
        </is>
      </c>
      <c r="G1" s="3" t="inlineStr">
        <is>
          <t>Spec ref</t>
        </is>
      </c>
      <c r="H1" s="3" t="inlineStr">
        <is>
          <t>Question</t>
        </is>
      </c>
      <c r="I1" s="3" t="inlineStr">
        <is>
          <t>Answer</t>
        </is>
      </c>
      <c r="J1" s="3" t="inlineStr">
        <is>
          <t>Accepted answers</t>
        </is>
      </c>
      <c r="K1" s="3" t="inlineStr">
        <is>
          <t>Grade</t>
        </is>
      </c>
      <c r="L1" s="3" t="inlineStr">
        <is>
          <t>Reason</t>
        </is>
      </c>
      <c r="M1" s="3" t="inlineStr">
        <is>
          <t>Suggested fix</t>
        </is>
      </c>
      <c r="N1" s="3" t="inlineStr">
        <is>
          <t>Rob's decision</t>
        </is>
      </c>
      <c r="O1" s="3" t="inlineStr">
        <is>
          <t>Rob's note</t>
        </is>
      </c>
    </row>
    <row r="2">
      <c r="A2" s="9" t="inlineStr">
        <is>
          <t>No flags in this subject.</t>
        </is>
      </c>
    </row>
  </sheetData>
  <autoFilter ref="A1:O2"/>
  <dataValidations count="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6" customWidth="1" min="4" max="4"/>
    <col width="12" customWidth="1" min="5" max="5"/>
    <col width="9" customWidth="1" min="6" max="6"/>
    <col width="11" customWidth="1" min="7" max="7"/>
    <col width="50" customWidth="1" min="8" max="8"/>
    <col width="26" customWidth="1" min="9" max="9"/>
    <col width="30" customWidth="1" min="10" max="10"/>
    <col width="10" customWidth="1" min="11" max="11"/>
    <col width="46" customWidth="1" min="12" max="12"/>
    <col width="46" customWidth="1" min="13" max="13"/>
    <col width="18" customWidth="1" min="14" max="14"/>
    <col width="30" customWidth="1" min="15" max="15"/>
  </cols>
  <sheetData>
    <row r="1">
      <c r="A1" s="3" t="inlineStr">
        <is>
          <t>ID</t>
        </is>
      </c>
      <c r="B1" s="3" t="inlineStr">
        <is>
          <t>Board</t>
        </is>
      </c>
      <c r="C1" s="3" t="inlineStr">
        <is>
          <t>Subject</t>
        </is>
      </c>
      <c r="D1" s="3" t="inlineStr">
        <is>
          <t>Course</t>
        </is>
      </c>
      <c r="E1" s="3" t="inlineStr">
        <is>
          <t>Tier</t>
        </is>
      </c>
      <c r="F1" s="3" t="inlineStr">
        <is>
          <t>Topic</t>
        </is>
      </c>
      <c r="G1" s="3" t="inlineStr">
        <is>
          <t>Spec ref</t>
        </is>
      </c>
      <c r="H1" s="3" t="inlineStr">
        <is>
          <t>Question</t>
        </is>
      </c>
      <c r="I1" s="3" t="inlineStr">
        <is>
          <t>Answer</t>
        </is>
      </c>
      <c r="J1" s="3" t="inlineStr">
        <is>
          <t>Accepted answers</t>
        </is>
      </c>
      <c r="K1" s="3" t="inlineStr">
        <is>
          <t>Grade</t>
        </is>
      </c>
      <c r="L1" s="3" t="inlineStr">
        <is>
          <t>Reason</t>
        </is>
      </c>
      <c r="M1" s="3" t="inlineStr">
        <is>
          <t>Suggested fix</t>
        </is>
      </c>
      <c r="N1" s="3" t="inlineStr">
        <is>
          <t>Rob's decision</t>
        </is>
      </c>
      <c r="O1" s="3" t="inlineStr">
        <is>
          <t>Rob's note</t>
        </is>
      </c>
    </row>
    <row r="2">
      <c r="A2" s="6" t="inlineStr">
        <is>
          <t>aqa-hist-1BA-039</t>
        </is>
      </c>
      <c r="B2" s="6" t="inlineStr">
        <is>
          <t>AQA</t>
        </is>
      </c>
      <c r="C2" s="6" t="inlineStr">
        <is>
          <t>History</t>
        </is>
      </c>
      <c r="D2" s="6" t="inlineStr">
        <is>
          <t>n/a</t>
        </is>
      </c>
      <c r="E2" s="6" t="inlineStr">
        <is>
          <t>Both</t>
        </is>
      </c>
      <c r="F2" s="6" t="inlineStr">
        <is>
          <t>1BA</t>
        </is>
      </c>
      <c r="G2" s="6" t="inlineStr">
        <is>
          <t>1BA.3.3</t>
        </is>
      </c>
      <c r="H2" s="6" t="inlineStr">
        <is>
          <t>In which forest near Compiègne was the armistice of November 1918 signed?</t>
        </is>
      </c>
      <c r="I2" s="6" t="inlineStr">
        <is>
          <t>Compiègne</t>
        </is>
      </c>
      <c r="J2" s="6" t="inlineStr">
        <is>
          <t>Compiegne; Compiègne Forest</t>
        </is>
      </c>
      <c r="K2" s="7" t="inlineStr">
        <is>
          <t>Minor</t>
        </is>
      </c>
      <c r="L2" s="6" t="inlineStr">
        <is>
          <t>The question names Compiègne, which is the answer, so it gives itself away.</t>
        </is>
      </c>
      <c r="M2" s="6" t="inlineStr">
        <is>
          <t>Reword: "In which French forest was the armistice of November 1918 signed, in a railway carriage?" (A: Compiègne)</t>
        </is>
      </c>
      <c r="N2" s="8" t="n"/>
      <c r="O2" s="8" t="n"/>
    </row>
    <row r="3">
      <c r="A3" s="6" t="inlineStr">
        <is>
          <t>aqa-hist-1BB-010</t>
        </is>
      </c>
      <c r="B3" s="6" t="inlineStr">
        <is>
          <t>AQA</t>
        </is>
      </c>
      <c r="C3" s="6" t="inlineStr">
        <is>
          <t>History</t>
        </is>
      </c>
      <c r="D3" s="6" t="inlineStr">
        <is>
          <t>n/a</t>
        </is>
      </c>
      <c r="E3" s="6" t="inlineStr">
        <is>
          <t>Both</t>
        </is>
      </c>
      <c r="F3" s="6" t="inlineStr">
        <is>
          <t>1BB</t>
        </is>
      </c>
      <c r="G3" s="6" t="inlineStr">
        <is>
          <t>1BB.1.2</t>
        </is>
      </c>
      <c r="H3" s="6" t="inlineStr">
        <is>
          <t>What was the maximum size of the German army allowed by the treaty?</t>
        </is>
      </c>
      <c r="I3" s="6" t="inlineStr">
        <is>
          <t>100,000 men</t>
        </is>
      </c>
      <c r="J3" s="6" t="inlineStr">
        <is>
          <t>100000; 100,000 soldiers</t>
        </is>
      </c>
      <c r="K3" s="7" t="inlineStr">
        <is>
          <t>Minor</t>
        </is>
      </c>
      <c r="L3" s="6" t="inlineStr">
        <is>
          <t>"The treaty" is not named; the question needs it to stand alone in a mixed game.</t>
        </is>
      </c>
      <c r="M3" s="6" t="inlineStr">
        <is>
          <t>Reword: "What was the maximum size of the German army allowed by the Treaty of Versailles?"</t>
        </is>
      </c>
      <c r="N3" s="8" t="n"/>
      <c r="O3" s="8" t="n"/>
    </row>
    <row r="4">
      <c r="A4" s="6" t="inlineStr">
        <is>
          <t>edexcel-hist-B1-021</t>
        </is>
      </c>
      <c r="B4" s="6" t="inlineStr">
        <is>
          <t>Edexcel</t>
        </is>
      </c>
      <c r="C4" s="6" t="inlineStr">
        <is>
          <t>History</t>
        </is>
      </c>
      <c r="D4" s="6" t="inlineStr">
        <is>
          <t>n/a</t>
        </is>
      </c>
      <c r="E4" s="6" t="inlineStr">
        <is>
          <t>Both</t>
        </is>
      </c>
      <c r="F4" s="6" t="inlineStr">
        <is>
          <t>B1</t>
        </is>
      </c>
      <c r="G4" s="6" t="inlineStr">
        <is>
          <t>B1.2.1</t>
        </is>
      </c>
      <c r="H4" s="6" t="inlineStr">
        <is>
          <t>Against which people were the Marcher earldoms on the Welsh border mainly meant to defend England?</t>
        </is>
      </c>
      <c r="I4" s="6" t="inlineStr">
        <is>
          <t>The Welsh</t>
        </is>
      </c>
      <c r="J4" s="6" t="inlineStr">
        <is>
          <t>Welsh</t>
        </is>
      </c>
      <c r="K4" s="7" t="inlineStr">
        <is>
          <t>Minor</t>
        </is>
      </c>
      <c r="L4" s="6" t="inlineStr">
        <is>
          <t>"On the Welsh border" gives the answer "The Welsh".</t>
        </is>
      </c>
      <c r="M4" s="6" t="inlineStr">
        <is>
          <t>Reword: "Which earldoms did William create on the border with Wales to defend England?" (A: Marcher earldoms)</t>
        </is>
      </c>
      <c r="N4" s="8" t="n"/>
      <c r="O4" s="8" t="n"/>
    </row>
    <row r="5">
      <c r="A5" s="6" t="inlineStr">
        <is>
          <t>edexcel-hist-B2-018</t>
        </is>
      </c>
      <c r="B5" s="6" t="inlineStr">
        <is>
          <t>Edexcel</t>
        </is>
      </c>
      <c r="C5" s="6" t="inlineStr">
        <is>
          <t>History</t>
        </is>
      </c>
      <c r="D5" s="6" t="inlineStr">
        <is>
          <t>n/a</t>
        </is>
      </c>
      <c r="E5" s="6" t="inlineStr">
        <is>
          <t>Both</t>
        </is>
      </c>
      <c r="F5" s="6" t="inlineStr">
        <is>
          <t>B2</t>
        </is>
      </c>
      <c r="G5" s="6" t="inlineStr">
        <is>
          <t>B2.1.4</t>
        </is>
      </c>
      <c r="H5" s="6" t="inlineStr">
        <is>
          <t>Who held England's Jews and their debts as the king's own property?</t>
        </is>
      </c>
      <c r="I5" s="6" t="inlineStr">
        <is>
          <t>The king</t>
        </is>
      </c>
      <c r="J5" s="6" t="inlineStr">
        <is>
          <t>King; Crown</t>
        </is>
      </c>
      <c r="K5" s="7" t="inlineStr">
        <is>
          <t>Minor</t>
        </is>
      </c>
      <c r="L5" s="6" t="inlineStr">
        <is>
          <t>"The king's own property" gives the answer "The king".</t>
        </is>
      </c>
      <c r="M5" s="6" t="inlineStr">
        <is>
          <t>Reword: "Under Richard and John, whose property were England's Jews and their debts?" (A: The king's)</t>
        </is>
      </c>
      <c r="N5" s="8" t="n"/>
      <c r="O5" s="8" t="n"/>
    </row>
    <row r="6">
      <c r="A6" s="6" t="inlineStr">
        <is>
          <t>edexcel-hist-P3-026</t>
        </is>
      </c>
      <c r="B6" s="6" t="inlineStr">
        <is>
          <t>Edexcel</t>
        </is>
      </c>
      <c r="C6" s="6" t="inlineStr">
        <is>
          <t>History</t>
        </is>
      </c>
      <c r="D6" s="6" t="inlineStr">
        <is>
          <t>n/a</t>
        </is>
      </c>
      <c r="E6" s="6" t="inlineStr">
        <is>
          <t>Both</t>
        </is>
      </c>
      <c r="F6" s="6" t="inlineStr">
        <is>
          <t>P3</t>
        </is>
      </c>
      <c r="G6" s="6" t="inlineStr">
        <is>
          <t>P3.2.3</t>
        </is>
      </c>
      <c r="H6" s="6" t="inlineStr">
        <is>
          <t>Which Sioux leader fought Red Cloud's War of 1866-68 against the Bozeman Trail forts?</t>
        </is>
      </c>
      <c r="I6" s="6" t="inlineStr">
        <is>
          <t>Red Cloud</t>
        </is>
      </c>
      <c r="J6" s="6" t="inlineStr">
        <is>
          <t>Chief Red Cloud</t>
        </is>
      </c>
      <c r="K6" s="7" t="inlineStr">
        <is>
          <t>Minor</t>
        </is>
      </c>
      <c r="L6" s="6" t="inlineStr">
        <is>
          <t>The war is named after its leader, so the question gives the answer (Red Cloud).</t>
        </is>
      </c>
      <c r="M6" s="6" t="inlineStr">
        <is>
          <t>Reword: "Which Sioux leader forced the US to abandon the Bozeman Trail forts in 1868?" (A: Red Cloud)</t>
        </is>
      </c>
      <c r="N6" s="8" t="n"/>
      <c r="O6" s="8" t="n"/>
    </row>
  </sheetData>
  <autoFilter ref="A1:O6"/>
  <dataValidations count="1">
    <dataValidation sqref="N2 N3 N4 N5 N6" showDropDown="0" showInputMessage="0" showErrorMessage="0" allowBlank="1" type="list">
      <formula1>"Use suggested fix,Keep as is,Remove,I'll edit"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6" customWidth="1" min="4" max="4"/>
    <col width="12" customWidth="1" min="5" max="5"/>
    <col width="9" customWidth="1" min="6" max="6"/>
    <col width="11" customWidth="1" min="7" max="7"/>
    <col width="50" customWidth="1" min="8" max="8"/>
    <col width="26" customWidth="1" min="9" max="9"/>
    <col width="30" customWidth="1" min="10" max="10"/>
    <col width="10" customWidth="1" min="11" max="11"/>
    <col width="46" customWidth="1" min="12" max="12"/>
    <col width="46" customWidth="1" min="13" max="13"/>
    <col width="18" customWidth="1" min="14" max="14"/>
    <col width="30" customWidth="1" min="15" max="15"/>
  </cols>
  <sheetData>
    <row r="1">
      <c r="A1" s="3" t="inlineStr">
        <is>
          <t>ID</t>
        </is>
      </c>
      <c r="B1" s="3" t="inlineStr">
        <is>
          <t>Board</t>
        </is>
      </c>
      <c r="C1" s="3" t="inlineStr">
        <is>
          <t>Subject</t>
        </is>
      </c>
      <c r="D1" s="3" t="inlineStr">
        <is>
          <t>Course</t>
        </is>
      </c>
      <c r="E1" s="3" t="inlineStr">
        <is>
          <t>Tier</t>
        </is>
      </c>
      <c r="F1" s="3" t="inlineStr">
        <is>
          <t>Topic</t>
        </is>
      </c>
      <c r="G1" s="3" t="inlineStr">
        <is>
          <t>Spec ref</t>
        </is>
      </c>
      <c r="H1" s="3" t="inlineStr">
        <is>
          <t>Question</t>
        </is>
      </c>
      <c r="I1" s="3" t="inlineStr">
        <is>
          <t>Answer</t>
        </is>
      </c>
      <c r="J1" s="3" t="inlineStr">
        <is>
          <t>Accepted answers</t>
        </is>
      </c>
      <c r="K1" s="3" t="inlineStr">
        <is>
          <t>Grade</t>
        </is>
      </c>
      <c r="L1" s="3" t="inlineStr">
        <is>
          <t>Reason</t>
        </is>
      </c>
      <c r="M1" s="3" t="inlineStr">
        <is>
          <t>Suggested fix</t>
        </is>
      </c>
      <c r="N1" s="3" t="inlineStr">
        <is>
          <t>Rob's decision</t>
        </is>
      </c>
      <c r="O1" s="3" t="inlineStr">
        <is>
          <t>Rob's note</t>
        </is>
      </c>
    </row>
    <row r="2">
      <c r="A2" s="6" t="inlineStr">
        <is>
          <t>aqa-geog-3.2.3.1-029</t>
        </is>
      </c>
      <c r="B2" s="6" t="inlineStr">
        <is>
          <t>AQA</t>
        </is>
      </c>
      <c r="C2" s="6" t="inlineStr">
        <is>
          <t>Geography</t>
        </is>
      </c>
      <c r="D2" s="6" t="inlineStr">
        <is>
          <t>n/a</t>
        </is>
      </c>
      <c r="E2" s="6" t="inlineStr">
        <is>
          <t>Both</t>
        </is>
      </c>
      <c r="F2" s="6" t="inlineStr">
        <is>
          <t>3.2.3.1</t>
        </is>
      </c>
      <c r="G2" s="6" t="inlineStr">
        <is>
          <t>3.2.3.1.2</t>
        </is>
      </c>
      <c r="H2" s="6" t="inlineStr">
        <is>
          <t>Name one renewable energy source whose share of UK electricity has grown strongly, especially offshore.</t>
        </is>
      </c>
      <c r="I2" s="6" t="inlineStr">
        <is>
          <t>Wind</t>
        </is>
      </c>
      <c r="J2" s="6" t="inlineStr">
        <is>
          <t>Wind power; Offshore wind; Solar; Biomass</t>
        </is>
      </c>
      <c r="K2" s="7" t="inlineStr">
        <is>
          <t>Minor</t>
        </is>
      </c>
      <c r="L2" s="6" t="inlineStr">
        <is>
          <t>The question asks for one source growing "especially offshore", but Solar and Biomass are also accepted.</t>
        </is>
      </c>
      <c r="M2" s="6" t="inlineStr">
        <is>
          <t>Remove Solar and Biomass from Accept, or drop "especially offshore" from the question.</t>
        </is>
      </c>
      <c r="N2" s="8" t="n"/>
      <c r="O2" s="8" t="n"/>
    </row>
    <row r="3">
      <c r="A3" s="6" t="inlineStr">
        <is>
          <t>aqa-geog-3.2.3.3-025</t>
        </is>
      </c>
      <c r="B3" s="6" t="inlineStr">
        <is>
          <t>AQA</t>
        </is>
      </c>
      <c r="C3" s="6" t="inlineStr">
        <is>
          <t>Geography</t>
        </is>
      </c>
      <c r="D3" s="6" t="inlineStr">
        <is>
          <t>n/a</t>
        </is>
      </c>
      <c r="E3" s="6" t="inlineStr">
        <is>
          <t>Both</t>
        </is>
      </c>
      <c r="F3" s="6" t="inlineStr">
        <is>
          <t>3.2.3.3</t>
        </is>
      </c>
      <c r="G3" s="6" t="inlineStr">
        <is>
          <t>3.2.3.3.2</t>
        </is>
      </c>
      <c r="H3" s="6" t="inlineStr">
        <is>
          <t>Which country receives money for water sold through the Lesotho Highlands Water Project?</t>
        </is>
      </c>
      <c r="I3" s="6" t="inlineStr">
        <is>
          <t>Lesotho</t>
        </is>
      </c>
      <c r="J3" s="6" t="inlineStr"/>
      <c r="K3" s="7" t="inlineStr">
        <is>
          <t>Minor</t>
        </is>
      </c>
      <c r="L3" s="6" t="inlineStr">
        <is>
          <t>The project name contains the answer (Lesotho).</t>
        </is>
      </c>
      <c r="M3" s="6" t="inlineStr">
        <is>
          <t>Reword: "The Lesotho Highlands Water Project sells water to which neighbouring country?" (A: South Africa)</t>
        </is>
      </c>
      <c r="N3" s="8" t="n"/>
      <c r="O3" s="8" t="n"/>
    </row>
    <row r="4">
      <c r="A4" s="6" t="inlineStr">
        <is>
          <t>edexcel-geog-1ga0-2-003</t>
        </is>
      </c>
      <c r="B4" s="6" t="inlineStr">
        <is>
          <t>Edexcel</t>
        </is>
      </c>
      <c r="C4" s="6" t="inlineStr">
        <is>
          <t>Geography</t>
        </is>
      </c>
      <c r="D4" s="6" t="inlineStr">
        <is>
          <t>n/a</t>
        </is>
      </c>
      <c r="E4" s="6" t="inlineStr">
        <is>
          <t>Both</t>
        </is>
      </c>
      <c r="F4" s="6" t="inlineStr">
        <is>
          <t>2</t>
        </is>
      </c>
      <c r="G4" s="6" t="inlineStr">
        <is>
          <t>2.1</t>
        </is>
      </c>
      <c r="H4" s="6" t="inlineStr">
        <is>
          <t>What kind of pressure belt forms where air rises at the equator, bringing heavy rainfall?</t>
        </is>
      </c>
      <c r="I4" s="6" t="inlineStr">
        <is>
          <t>Low pressure</t>
        </is>
      </c>
      <c r="J4" s="6" t="inlineStr">
        <is>
          <t>Low pressure belt; ITCZ</t>
        </is>
      </c>
      <c r="K4" s="7" t="inlineStr">
        <is>
          <t>Minor</t>
        </is>
      </c>
      <c r="L4" s="6" t="inlineStr">
        <is>
          <t>The question asks what kind of pressure belt; ITCZ names the zone, not the kind of pressure.</t>
        </is>
      </c>
      <c r="M4" s="6" t="inlineStr">
        <is>
          <t>Remove "ITCZ" from Accept (or keep it, since teachers may accept it).</t>
        </is>
      </c>
      <c r="N4" s="8" t="n"/>
      <c r="O4" s="8" t="n"/>
    </row>
  </sheetData>
  <autoFilter ref="A1:O4"/>
  <dataValidations count="1">
    <dataValidation sqref="N2 N3 N4" showDropDown="0" showInputMessage="0" showErrorMessage="0" allowBlank="1" type="list">
      <formula1>"Use suggested fix,Keep as is,Remove,I'll edit"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2026-10-11T16:59:46Z</dcterms:created>
  <dcterms:modified xsi:type="dcterms:W3CDTF">2026-10-11T16:59:46Z</dcterms:modified>
</cp:coreProperties>
</file>